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2041E5B8-497B-4939-91F1-139B4AF21739}" xr6:coauthVersionLast="40" xr6:coauthVersionMax="40" xr10:uidLastSave="{00000000-0000-0000-0000-000000000000}"/>
  <bookViews>
    <workbookView xWindow="0" yWindow="0" windowWidth="28800" windowHeight="12180" tabRatio="755" xr2:uid="{00000000-000D-0000-FFFF-FFFF00000000}"/>
  </bookViews>
  <sheets>
    <sheet name="May -2026" sheetId="125" r:id="rId1"/>
    <sheet name="April -2026 (2)" sheetId="124" r:id="rId2"/>
    <sheet name="April -2026" sheetId="123" r:id="rId3"/>
    <sheet name="March -2026" sheetId="122" r:id="rId4"/>
    <sheet name="Feb -2026" sheetId="121" r:id="rId5"/>
    <sheet name="Jan -2026" sheetId="120" r:id="rId6"/>
    <sheet name="Dec-2025" sheetId="119" r:id="rId7"/>
    <sheet name="Nov-25" sheetId="118" r:id="rId8"/>
    <sheet name="oct-25" sheetId="117" r:id="rId9"/>
    <sheet name="April 2024 (2)" sheetId="85" r:id="rId10"/>
    <sheet name="JAN 2022" sheetId="52" r:id="rId11"/>
    <sheet name="FEB 2022" sheetId="53" r:id="rId12"/>
    <sheet name="MAR TILL 24TH  2022" sheetId="54" r:id="rId13"/>
    <sheet name="MAR 25-31ST 2022" sheetId="57" r:id="rId14"/>
    <sheet name="APR 2022" sheetId="55" r:id="rId15"/>
    <sheet name="MAY 2022" sheetId="56" r:id="rId16"/>
    <sheet name="JUNE 2022" sheetId="58" r:id="rId17"/>
    <sheet name="JULY 2022" sheetId="59" r:id="rId18"/>
    <sheet name="AUG 2022" sheetId="60" r:id="rId19"/>
    <sheet name="SEP 2022" sheetId="61" r:id="rId20"/>
    <sheet name="OCT 2022" sheetId="62" r:id="rId21"/>
    <sheet name="NOV 2022" sheetId="63" r:id="rId22"/>
    <sheet name="DEC 2022" sheetId="64" r:id="rId23"/>
    <sheet name="Jan23" sheetId="65" r:id="rId24"/>
    <sheet name="Feb23" sheetId="66" r:id="rId25"/>
    <sheet name="Mar23" sheetId="67" r:id="rId26"/>
    <sheet name="Mar23-2" sheetId="68" r:id="rId27"/>
    <sheet name="April-2023" sheetId="69" r:id="rId28"/>
    <sheet name="May-23" sheetId="70" r:id="rId29"/>
    <sheet name="June-23" sheetId="71" r:id="rId30"/>
    <sheet name="July-23" sheetId="72" r:id="rId31"/>
    <sheet name="Aug-23" sheetId="73" r:id="rId32"/>
    <sheet name="Sept-23" sheetId="74" r:id="rId33"/>
    <sheet name="sept new" sheetId="75" r:id="rId34"/>
    <sheet name="OCT-23" sheetId="77" r:id="rId35"/>
    <sheet name="Nov-23" sheetId="78" r:id="rId36"/>
    <sheet name="Dec-23" sheetId="79" r:id="rId37"/>
    <sheet name="Jan-24" sheetId="80" r:id="rId38"/>
    <sheet name="Feb-24" sheetId="81" r:id="rId39"/>
    <sheet name="Mar-24" sheetId="82" r:id="rId40"/>
    <sheet name="April 2024" sheetId="84" r:id="rId41"/>
    <sheet name="Mar-24 (2)" sheetId="83" r:id="rId42"/>
    <sheet name="MAY-2024" sheetId="100" r:id="rId43"/>
    <sheet name="June-24" sheetId="101" r:id="rId44"/>
    <sheet name="AUG -24" sheetId="102" r:id="rId45"/>
    <sheet name="Sept-24" sheetId="103" r:id="rId46"/>
    <sheet name="Oct-24" sheetId="104" r:id="rId47"/>
    <sheet name="OCT-24 " sheetId="105" r:id="rId48"/>
    <sheet name="NOV-24" sheetId="106" r:id="rId49"/>
    <sheet name="Dec-24" sheetId="107" r:id="rId50"/>
    <sheet name="JAN-25" sheetId="108" r:id="rId51"/>
    <sheet name="Feb-25" sheetId="109" r:id="rId52"/>
    <sheet name="Mar-25" sheetId="110" r:id="rId53"/>
    <sheet name="April-25" sheetId="111" r:id="rId54"/>
    <sheet name="May-25" sheetId="112" r:id="rId55"/>
    <sheet name="June-25" sheetId="113" r:id="rId56"/>
    <sheet name="july25" sheetId="114" r:id="rId57"/>
    <sheet name="Aug-25" sheetId="115" r:id="rId58"/>
    <sheet name="Sep-25" sheetId="116" r:id="rId59"/>
  </sheets>
  <definedNames>
    <definedName name="_xlnm.Print_Area" localSheetId="14">'APR 2022'!$A$1:$F$20</definedName>
    <definedName name="_xlnm.Print_Area" localSheetId="2">'April -2026'!$A$1:$G$28</definedName>
    <definedName name="_xlnm.Print_Area" localSheetId="1">'April -2026 (2)'!$A$1:$G$25</definedName>
    <definedName name="_xlnm.Print_Area" localSheetId="27">'April-2023'!$A$1:$F$21</definedName>
    <definedName name="_xlnm.Print_Area" localSheetId="18">'AUG 2022'!$A$1:$F$20</definedName>
    <definedName name="_xlnm.Print_Area" localSheetId="31">'Aug-23'!$A$1:$F$21</definedName>
    <definedName name="_xlnm.Print_Area" localSheetId="22">'DEC 2022'!$A$1:$F$20</definedName>
    <definedName name="_xlnm.Print_Area" localSheetId="6">'Dec-2025'!$A$1:$G$28</definedName>
    <definedName name="_xlnm.Print_Area" localSheetId="36">'Dec-23'!$A$1:$F$20</definedName>
    <definedName name="_xlnm.Print_Area" localSheetId="11">'FEB 2022'!$A$1:$F$20</definedName>
    <definedName name="_xlnm.Print_Area" localSheetId="4">'Feb -2026'!$A$1:$G$30</definedName>
    <definedName name="_xlnm.Print_Area" localSheetId="24">'Feb23'!$A$1:$F$20</definedName>
    <definedName name="_xlnm.Print_Area" localSheetId="38">'Feb-24'!$A$1:$F$20</definedName>
    <definedName name="_xlnm.Print_Area" localSheetId="10">'JAN 2022'!$A$1:$F$20</definedName>
    <definedName name="_xlnm.Print_Area" localSheetId="5">'Jan -2026'!$A$1:$G$30</definedName>
    <definedName name="_xlnm.Print_Area" localSheetId="23">'Jan23'!$A$1:$F$20</definedName>
    <definedName name="_xlnm.Print_Area" localSheetId="37">'Jan-24'!$A$1:$F$20</definedName>
    <definedName name="_xlnm.Print_Area" localSheetId="17">'JULY 2022'!$A$1:$F$20</definedName>
    <definedName name="_xlnm.Print_Area" localSheetId="30">'July-23'!$A$1:$F$21</definedName>
    <definedName name="_xlnm.Print_Area" localSheetId="16">'JUNE 2022'!$A$1:$F$20</definedName>
    <definedName name="_xlnm.Print_Area" localSheetId="29">'June-23'!$A$1:$F$21</definedName>
    <definedName name="_xlnm.Print_Area" localSheetId="13">'MAR 25-31ST 2022'!$A$1:$F$20</definedName>
    <definedName name="_xlnm.Print_Area" localSheetId="12">'MAR TILL 24TH  2022'!$A$1:$F$20</definedName>
    <definedName name="_xlnm.Print_Area" localSheetId="25">'Mar23'!$A$1:$F$21</definedName>
    <definedName name="_xlnm.Print_Area" localSheetId="26">'Mar23-2'!$A$1:$F$21</definedName>
    <definedName name="_xlnm.Print_Area" localSheetId="39">'Mar-24'!$A$1:$F$20</definedName>
    <definedName name="_xlnm.Print_Area" localSheetId="41">'Mar-24 (2)'!$A$1:$F$21</definedName>
    <definedName name="_xlnm.Print_Area" localSheetId="3">'March -2026'!$A$1:$G$29</definedName>
    <definedName name="_xlnm.Print_Area" localSheetId="15">'MAY 2022'!$A$1:$F$20</definedName>
    <definedName name="_xlnm.Print_Area" localSheetId="0">'May -2026'!$A$1:$G$28</definedName>
    <definedName name="_xlnm.Print_Area" localSheetId="28">'May-23'!$A$1:$F$21</definedName>
    <definedName name="_xlnm.Print_Area" localSheetId="21">'NOV 2022'!$A$1:$F$20</definedName>
    <definedName name="_xlnm.Print_Area" localSheetId="35">'Nov-23'!$A$1:$F$20</definedName>
    <definedName name="_xlnm.Print_Area" localSheetId="20">'OCT 2022'!$A$1:$F$20</definedName>
    <definedName name="_xlnm.Print_Area" localSheetId="34">'OCT-23'!$A$1:$F$21</definedName>
    <definedName name="_xlnm.Print_Area" localSheetId="19">'SEP 2022'!$A$1:$F$20</definedName>
    <definedName name="_xlnm.Print_Area" localSheetId="32">'Sept-23'!$A$1:$F$21</definedName>
  </definedNames>
  <calcPr calcId="191029"/>
</workbook>
</file>

<file path=xl/calcChain.xml><?xml version="1.0" encoding="utf-8"?>
<calcChain xmlns="http://schemas.openxmlformats.org/spreadsheetml/2006/main">
  <c r="G12" i="125" l="1"/>
  <c r="G11" i="125"/>
  <c r="G10" i="125"/>
  <c r="G9" i="125"/>
  <c r="J8" i="125"/>
  <c r="G8" i="125"/>
  <c r="G13" i="125" l="1"/>
  <c r="G9" i="124"/>
  <c r="J8" i="124"/>
  <c r="G8" i="124"/>
  <c r="G10" i="124" s="1"/>
  <c r="G12" i="123" l="1"/>
  <c r="G11" i="123"/>
  <c r="G10" i="123"/>
  <c r="G9" i="123"/>
  <c r="J8" i="123"/>
  <c r="G8" i="123"/>
  <c r="G13" i="123" l="1"/>
  <c r="G13" i="122"/>
  <c r="G12" i="122"/>
  <c r="G11" i="122"/>
  <c r="G10" i="122"/>
  <c r="G9" i="122"/>
  <c r="J8" i="122"/>
  <c r="G8" i="122"/>
  <c r="G14" i="122" l="1"/>
  <c r="G14" i="121"/>
  <c r="G13" i="121"/>
  <c r="G12" i="121"/>
  <c r="G11" i="121"/>
  <c r="G10" i="121"/>
  <c r="G9" i="121"/>
  <c r="J8" i="121"/>
  <c r="G8" i="121"/>
  <c r="G15" i="121" l="1"/>
  <c r="F15" i="120"/>
  <c r="G14" i="120"/>
  <c r="G13" i="120"/>
  <c r="G12" i="120"/>
  <c r="G11" i="120"/>
  <c r="G10" i="120"/>
  <c r="G9" i="120"/>
  <c r="J8" i="120"/>
  <c r="G8" i="120"/>
  <c r="G15" i="120" l="1"/>
  <c r="G9" i="119"/>
  <c r="G14" i="119"/>
  <c r="G13" i="119"/>
  <c r="G12" i="119"/>
  <c r="G10" i="119"/>
  <c r="G11" i="119"/>
  <c r="F15" i="119"/>
  <c r="J8" i="119"/>
  <c r="G8" i="119"/>
  <c r="G15" i="119" l="1"/>
  <c r="G10" i="118"/>
  <c r="G12" i="118" l="1"/>
  <c r="G11" i="118"/>
  <c r="F16" i="118"/>
  <c r="G15" i="118"/>
  <c r="G14" i="118"/>
  <c r="G13" i="118"/>
  <c r="G9" i="118"/>
  <c r="J8" i="118"/>
  <c r="G8" i="118"/>
  <c r="G16" i="118" l="1"/>
  <c r="G9" i="117"/>
  <c r="G10" i="117"/>
  <c r="G14" i="117"/>
  <c r="F15" i="117"/>
  <c r="G13" i="117"/>
  <c r="G12" i="117"/>
  <c r="G11" i="117"/>
  <c r="J8" i="117"/>
  <c r="G8" i="117"/>
  <c r="G15" i="117" l="1"/>
  <c r="G15" i="116"/>
  <c r="G11" i="116"/>
  <c r="G12" i="116"/>
  <c r="G10" i="116"/>
  <c r="F15" i="116" l="1"/>
  <c r="G13" i="116" l="1"/>
  <c r="J8" i="116"/>
  <c r="G8" i="116"/>
  <c r="G9" i="115" l="1"/>
  <c r="G10" i="115"/>
  <c r="G12" i="115"/>
  <c r="G13" i="115"/>
  <c r="G14" i="115"/>
  <c r="G11" i="115"/>
  <c r="J8" i="115" l="1"/>
  <c r="G8" i="115"/>
  <c r="G15" i="115" l="1"/>
  <c r="F12" i="114"/>
  <c r="F10" i="114"/>
  <c r="F9" i="114"/>
  <c r="F13" i="114" s="1"/>
  <c r="I8" i="114"/>
  <c r="F8" i="114"/>
  <c r="F12" i="113" l="1"/>
  <c r="F10" i="113"/>
  <c r="F9" i="113"/>
  <c r="F13" i="113" s="1"/>
  <c r="I8" i="113"/>
  <c r="F8" i="113"/>
  <c r="F12" i="112" l="1"/>
  <c r="F10" i="112"/>
  <c r="F9" i="112"/>
  <c r="I8" i="112"/>
  <c r="F8" i="112"/>
  <c r="F13" i="112" l="1"/>
  <c r="F12" i="111"/>
  <c r="F10" i="111"/>
  <c r="F9" i="111"/>
  <c r="I8" i="111"/>
  <c r="F8" i="111"/>
  <c r="F13" i="111" l="1"/>
  <c r="F12" i="110"/>
  <c r="F10" i="110"/>
  <c r="F9" i="110"/>
  <c r="I8" i="110"/>
  <c r="F8" i="110"/>
  <c r="F13" i="110" l="1"/>
  <c r="I8" i="109"/>
  <c r="F12" i="109" l="1"/>
  <c r="F10" i="109"/>
  <c r="F9" i="109"/>
  <c r="F8" i="109"/>
  <c r="F13" i="109" l="1"/>
  <c r="F12" i="108"/>
  <c r="F10" i="108"/>
  <c r="F9" i="108"/>
  <c r="F8" i="108"/>
  <c r="F13" i="108" l="1"/>
  <c r="F12" i="107"/>
  <c r="F10" i="107"/>
  <c r="F9" i="107"/>
  <c r="F13" i="107" s="1"/>
  <c r="F8" i="107"/>
  <c r="F12" i="106" l="1"/>
  <c r="F10" i="106"/>
  <c r="F9" i="106"/>
  <c r="F8" i="106"/>
  <c r="F12" i="105"/>
  <c r="F10" i="105"/>
  <c r="F9" i="105"/>
  <c r="F8" i="105"/>
  <c r="F13" i="106" l="1"/>
  <c r="F13" i="105"/>
  <c r="F12" i="104"/>
  <c r="F10" i="104"/>
  <c r="F9" i="104"/>
  <c r="F8" i="104"/>
  <c r="F13" i="104" l="1"/>
  <c r="F12" i="103"/>
  <c r="F10" i="103"/>
  <c r="F9" i="103"/>
  <c r="F8" i="103"/>
  <c r="F13" i="103" l="1"/>
  <c r="F12" i="102"/>
  <c r="F10" i="102"/>
  <c r="F9" i="102"/>
  <c r="F8" i="102"/>
  <c r="F13" i="102" l="1"/>
  <c r="F12" i="101"/>
  <c r="F10" i="101"/>
  <c r="F9" i="101"/>
  <c r="F8" i="101"/>
  <c r="F13" i="101" l="1"/>
  <c r="F11" i="100"/>
  <c r="F8" i="100"/>
  <c r="F7" i="100"/>
  <c r="F11" i="85"/>
  <c r="F9" i="85"/>
  <c r="F8" i="85"/>
  <c r="F7" i="85"/>
  <c r="F12" i="85" s="1"/>
  <c r="F12" i="100" l="1"/>
  <c r="F11" i="84"/>
  <c r="F9" i="84"/>
  <c r="F8" i="84"/>
  <c r="F7" i="84"/>
  <c r="F13" i="83"/>
  <c r="F11" i="83"/>
  <c r="F10" i="83"/>
  <c r="F9" i="83"/>
  <c r="F12" i="84" l="1"/>
  <c r="F14" i="83"/>
  <c r="F12" i="82"/>
  <c r="F10" i="82"/>
  <c r="F9" i="82"/>
  <c r="F8" i="82"/>
  <c r="F13" i="82" l="1"/>
  <c r="F12" i="81"/>
  <c r="F10" i="81"/>
  <c r="F9" i="81"/>
  <c r="F8" i="81"/>
  <c r="F13" i="81" l="1"/>
  <c r="F12" i="80"/>
  <c r="F10" i="80"/>
  <c r="F9" i="80"/>
  <c r="F8" i="80"/>
  <c r="F13" i="80" s="1"/>
  <c r="F12" i="79" l="1"/>
  <c r="F10" i="79"/>
  <c r="F9" i="79"/>
  <c r="F8" i="79"/>
  <c r="F13" i="79" l="1"/>
  <c r="F12" i="78"/>
  <c r="F10" i="78"/>
  <c r="F9" i="78"/>
  <c r="F8" i="78"/>
  <c r="F13" i="78" l="1"/>
  <c r="F13" i="77"/>
  <c r="F11" i="77"/>
  <c r="F10" i="77"/>
  <c r="F9" i="77"/>
  <c r="F8" i="77"/>
  <c r="F14" i="77" l="1"/>
  <c r="F13" i="74"/>
  <c r="F11" i="74"/>
  <c r="F10" i="74"/>
  <c r="F9" i="74"/>
  <c r="F8" i="74"/>
  <c r="F14" i="74" l="1"/>
  <c r="F13" i="73"/>
  <c r="F11" i="73"/>
  <c r="F10" i="73"/>
  <c r="F9" i="73"/>
  <c r="F8" i="73"/>
  <c r="F14" i="73" l="1"/>
  <c r="F13" i="72"/>
  <c r="F11" i="72"/>
  <c r="F10" i="72"/>
  <c r="F9" i="72"/>
  <c r="F8" i="72"/>
  <c r="F14" i="72" l="1"/>
  <c r="F13" i="71"/>
  <c r="F11" i="71"/>
  <c r="F10" i="71"/>
  <c r="F9" i="71"/>
  <c r="F8" i="71"/>
  <c r="F14" i="71" l="1"/>
  <c r="F13" i="70"/>
  <c r="F11" i="70"/>
  <c r="F10" i="70"/>
  <c r="F9" i="70"/>
  <c r="F8" i="70"/>
  <c r="F14" i="70" l="1"/>
  <c r="F13" i="69"/>
  <c r="F11" i="69"/>
  <c r="F10" i="69"/>
  <c r="F9" i="69"/>
  <c r="F8" i="69"/>
  <c r="F13" i="68"/>
  <c r="F11" i="68"/>
  <c r="F10" i="68"/>
  <c r="F9" i="68"/>
  <c r="F8" i="68"/>
  <c r="F14" i="69" l="1"/>
  <c r="F14" i="68"/>
  <c r="F11" i="67"/>
  <c r="F13" i="67"/>
  <c r="F10" i="67"/>
  <c r="F9" i="67"/>
  <c r="F8" i="67"/>
  <c r="F12" i="66"/>
  <c r="F10" i="66"/>
  <c r="F9" i="66"/>
  <c r="F8" i="66"/>
  <c r="F14" i="67" l="1"/>
  <c r="F13" i="66"/>
  <c r="F12" i="65"/>
  <c r="F10" i="65"/>
  <c r="F9" i="65"/>
  <c r="F8" i="65"/>
  <c r="F13" i="65" l="1"/>
  <c r="F12" i="64"/>
  <c r="F10" i="64"/>
  <c r="F9" i="64"/>
  <c r="F8" i="64"/>
  <c r="F13" i="64" l="1"/>
  <c r="F12" i="63"/>
  <c r="F10" i="63"/>
  <c r="F9" i="63"/>
  <c r="F8" i="63"/>
  <c r="F13" i="62"/>
  <c r="F12" i="62"/>
  <c r="F10" i="62"/>
  <c r="F9" i="62"/>
  <c r="F8" i="62"/>
  <c r="F13" i="61"/>
  <c r="F12" i="61"/>
  <c r="F10" i="61"/>
  <c r="F9" i="61"/>
  <c r="F8" i="61"/>
  <c r="F13" i="60"/>
  <c r="F12" i="60"/>
  <c r="F10" i="60"/>
  <c r="F9" i="60"/>
  <c r="F8" i="60"/>
  <c r="F13" i="59"/>
  <c r="F12" i="59"/>
  <c r="F10" i="59"/>
  <c r="F9" i="59"/>
  <c r="F8" i="59"/>
  <c r="F13" i="58"/>
  <c r="F12" i="58"/>
  <c r="F10" i="58"/>
  <c r="F9" i="58"/>
  <c r="F8" i="58"/>
  <c r="F13" i="56"/>
  <c r="F12" i="56"/>
  <c r="F10" i="56"/>
  <c r="F9" i="56"/>
  <c r="F8" i="56"/>
  <c r="F13" i="55"/>
  <c r="F12" i="55"/>
  <c r="F10" i="55"/>
  <c r="F9" i="55"/>
  <c r="F8" i="55"/>
  <c r="F13" i="57"/>
  <c r="F12" i="57"/>
  <c r="F10" i="57"/>
  <c r="F9" i="57"/>
  <c r="F8" i="57"/>
  <c r="F13" i="54"/>
  <c r="F12" i="54"/>
  <c r="F10" i="54"/>
  <c r="F9" i="54"/>
  <c r="F8" i="54"/>
  <c r="F13" i="53"/>
  <c r="F12" i="53"/>
  <c r="F11" i="53"/>
  <c r="F9" i="53"/>
  <c r="F8" i="53"/>
  <c r="F13" i="52"/>
  <c r="F12" i="52"/>
  <c r="F11" i="52"/>
  <c r="F9" i="52"/>
  <c r="F8" i="52"/>
  <c r="F13" i="63" l="1"/>
</calcChain>
</file>

<file path=xl/sharedStrings.xml><?xml version="1.0" encoding="utf-8"?>
<sst xmlns="http://schemas.openxmlformats.org/spreadsheetml/2006/main" count="1277" uniqueCount="128">
  <si>
    <t>NAME</t>
  </si>
  <si>
    <t xml:space="preserve">SALARY </t>
  </si>
  <si>
    <t>TOTAL SALARY FOR PAY</t>
  </si>
  <si>
    <t>NO.</t>
  </si>
  <si>
    <t>TOTAL</t>
  </si>
  <si>
    <t xml:space="preserve">DAY'S ATTENDED </t>
  </si>
  <si>
    <t>DAY'S TO ATTEND</t>
  </si>
  <si>
    <t>PHIROZA CAMA</t>
  </si>
  <si>
    <t>KETAN SHAH</t>
  </si>
  <si>
    <t xml:space="preserve"> </t>
  </si>
  <si>
    <t xml:space="preserve">SHWETA PARIKH    </t>
  </si>
  <si>
    <t>Prof. Sailesh G. Nair
Principal
College of Architecture
SVIT Vasad</t>
  </si>
  <si>
    <t>BACHELOR OF ARCHITECTURE</t>
  </si>
  <si>
    <t>BACHELORE OF INTERIOR DESIGN</t>
  </si>
  <si>
    <t>COLLEGE OF ARCHITECTURE &amp; INTERIOR DESIGN
SVIT. VASAD</t>
  </si>
  <si>
    <t>SUSHMA VANJANI</t>
  </si>
  <si>
    <t>TENURE / CONTRACTUAL FACULTY SALARY STATEMENT
JANUARY 2022</t>
  </si>
  <si>
    <t>AMOUNT IN WORDS : FOURTY FOUR THOUSANDS SIX HUNDRED THIRTY THREE ONLY.</t>
  </si>
  <si>
    <t>TENURE / CONTRACTUAL FACULTY SALARY STATEMENT
FEBRUARY 2022</t>
  </si>
  <si>
    <t>AMOUNT IN WORDS : FOURTY THREE THOUSANDS SIX HUNDRED FIFTY ONLY.</t>
  </si>
  <si>
    <t>NAMRATA VYAS</t>
  </si>
  <si>
    <t>TANIYA PATEL</t>
  </si>
  <si>
    <t>AMOUNT IN WORDS :FIFTY FIVE THOUSANDS FIVE HUNDRED FIFTY ONLY</t>
  </si>
  <si>
    <t>25/03/2022-31/03/2022</t>
  </si>
  <si>
    <t>AMOUNT IN WORDS :TWENTY TWO  THOUSANDS SEVEN HUNDRED ONLY</t>
  </si>
  <si>
    <t>AMOUNT IN WORDS :EIGHTY ONE THOUSANDS SEVEN HUNDRED ONLY</t>
  </si>
  <si>
    <t>TENURE / CONTRACTUAL FACULTY SALARY STATEMENT
MARCH 2022</t>
  </si>
  <si>
    <t>TENURE / CONTRACTUAL FACULTY SALARY STATEMENT
APRIL 2022</t>
  </si>
  <si>
    <t>TENURE / CONTRACTUAL FACULTY SALARY STATEMENT
MAY 2022</t>
  </si>
  <si>
    <t>AMOUNT IN WORDS :EIGHTY TWO THOUSANDS SEVEN HUNDRED FIFTY ONLY.</t>
  </si>
  <si>
    <t>TENURE / CONTRACTUAL FACULTY SALARY STATEMENT
JUNE 2022</t>
  </si>
  <si>
    <t>AMOUNT IN WORDS :Eighty Three  THOUSAND SEVEN HUNDRED ONLY.</t>
  </si>
  <si>
    <t>AMOUNT IN WORDS : EIGHTY ONE THOUSAND NINE HUNDRED FIFTY ONLY.</t>
  </si>
  <si>
    <t>TENURE / CONTRACTUAL FACULTY SALARY STATEMENT
JULY 2022</t>
  </si>
  <si>
    <t>TENURE / CONTRACTUAL FACULTY SALARY STATEMENT
AUGUST 2022</t>
  </si>
  <si>
    <t>AMOUNT IN WORDS : SIXTY THREE THOUSAND ONE HUNDRED ONLY.</t>
  </si>
  <si>
    <t>AMOUNT IN WORDS : EIGHTY EIGHT THOSANDS FIVE HUNDRED FIFTY ONLY.</t>
  </si>
  <si>
    <t>TENURE / CONTRACTUAL FACULTY SALARY STATEMENT
SEPTEMBER 2022</t>
  </si>
  <si>
    <t>TENURE / CONTRACTUAL FACULTY SALARY STATEMENT
OCTOBER 2022</t>
  </si>
  <si>
    <t>AMOUNT IN WORDS : EIGHTY SIX THOSANDS THREE HUNDRED ONLY.</t>
  </si>
  <si>
    <t>TENURE / CONTRACTUAL FACULTY SALARY STATEMENT
NOVEMBER 2022</t>
  </si>
  <si>
    <t>AMOUNT IN WORDS : SEVENTY FIVE THOUSAND NINE HUNDRED ONLY.</t>
  </si>
  <si>
    <t>AMOUNT IN WORDS : SEVENTY EIGHT THOUSAND ONLY.</t>
  </si>
  <si>
    <t>TENURE / CONTRACTUAL FACULTY SALARY STATEMENT
DECEMBER 2022</t>
  </si>
  <si>
    <t>TENURE / CONTRACTUAL FACULTY SALARY STATEMENT
January 2023</t>
  </si>
  <si>
    <t>AMOUNT IN WORDS : EIGHTY ONE  THOUSAND NINE HUNDRED FIFTY ONLY.</t>
  </si>
  <si>
    <t>28/2/2023</t>
  </si>
  <si>
    <t>AMOUNT IN WORDS : SIXTY FIVE THOUSAND EIGHT HUNDRED FIFTY RS ONLY.</t>
  </si>
  <si>
    <t>TENURE / CONTRACTUAL FACULTY SALARY STATEMENT
February 2023</t>
  </si>
  <si>
    <t>SIDDHANT DEB</t>
  </si>
  <si>
    <t>25/3/2023</t>
  </si>
  <si>
    <t>TENURE / CONTRACTUAL FACULTY SALARY STATEMENT
March 2023 (01/03/2023 to 25/03/2023)</t>
  </si>
  <si>
    <t>AMOUNT IN WORDS : EIGHTY THOUSAND THREE HUNDRED FIFTY RS ONLY.</t>
  </si>
  <si>
    <t>TENURE / CONTRACTUAL FACULTY SALARY STATEMENT
March 2023 (March 26, 2023 to March 31, 2023)</t>
  </si>
  <si>
    <t>TENURE / CONTRACTUAL FACULTY SALARY STATEMENT
April 2023</t>
  </si>
  <si>
    <t>TENURE / CONTRACTUAL FACULTY SALARY STATEMENT
June 2023</t>
  </si>
  <si>
    <t>COLLEGE OF ARCHITECTURE
SVIT. VASAD</t>
  </si>
  <si>
    <t>BACHELOR OF INTERIOR DESIGN</t>
  </si>
  <si>
    <t>TENURE / CONTRACTUAL FACULTY SALARY STATEMENT
July 2023</t>
  </si>
  <si>
    <r>
      <rPr>
        <b/>
        <sz val="13"/>
        <color theme="1"/>
        <rFont val="Calibri"/>
        <family val="2"/>
        <scheme val="minor"/>
      </rPr>
      <t>Prof. Sailesh G. Nair</t>
    </r>
    <r>
      <rPr>
        <sz val="13"/>
        <color theme="1"/>
        <rFont val="Calibri"/>
        <family val="2"/>
        <scheme val="minor"/>
      </rPr>
      <t xml:space="preserve">
Principal
College of Architecture
SVIT Vasad</t>
    </r>
  </si>
  <si>
    <t>TENURE / CONTRACTUAL FACULTY SALARY STATEMENT
Aug-2023</t>
  </si>
  <si>
    <r>
      <rPr>
        <b/>
        <sz val="13"/>
        <color theme="1"/>
        <rFont val="Calibri"/>
        <family val="2"/>
        <scheme val="minor"/>
      </rPr>
      <t>Prof. Pragnesh Shah</t>
    </r>
    <r>
      <rPr>
        <sz val="13"/>
        <color theme="1"/>
        <rFont val="Calibri"/>
        <family val="2"/>
        <scheme val="minor"/>
      </rPr>
      <t xml:space="preserve">
I/c. Principal
College of Architecture
SVIT Vasad</t>
    </r>
  </si>
  <si>
    <t>TENURE / CONTRACTUAL FACULTY SALARY STATEMENT
Sept-2023</t>
  </si>
  <si>
    <t>TENURE / CONTRACTUAL FACULTY SALARY STATEMENT
Sept- 2023</t>
  </si>
  <si>
    <t>23,100/-</t>
  </si>
  <si>
    <t>17,500/-</t>
  </si>
  <si>
    <t>26,400/-</t>
  </si>
  <si>
    <t xml:space="preserve">SIDDHANT DEB </t>
  </si>
  <si>
    <t>20,833/-</t>
  </si>
  <si>
    <t>20,000/-</t>
  </si>
  <si>
    <t xml:space="preserve">107,833/- </t>
  </si>
  <si>
    <t>Prof. Pragnesh Shah 
I/C Principal
College of Architecture
SVIT Vasad</t>
  </si>
  <si>
    <t>TENURE / CONTRACTUAL FACULTY SALARY STATEMENT
OCT-2023</t>
  </si>
  <si>
    <t>TENURE / CONTRACTUAL FACULTY SALARY STATEMENT
Nov-2023</t>
  </si>
  <si>
    <t>TENURE / CONTRACTUAL FACULTY SALARY STATEMENT
Dec-2023</t>
  </si>
  <si>
    <t>TENURE / CONTRACTUAL FACULTY SALARY STATEMENT
Jan-2024</t>
  </si>
  <si>
    <t>TENURE / CONTRACTUAL FACULTY SALARY STATEMENT
Feb-2024</t>
  </si>
  <si>
    <t>TENURE / CONTRACTUAL FACULTY SALARY STATEMENT
March-2024</t>
  </si>
  <si>
    <t>MARCH 25/03/2024 TO 31/03/2024</t>
  </si>
  <si>
    <t>Date: 01/05/2024</t>
  </si>
  <si>
    <t>TENURE / CONTRACTUAL FACULTY SALARY STATEMENT
April-2024</t>
  </si>
  <si>
    <t>Date: 01/06/2024</t>
  </si>
  <si>
    <t xml:space="preserve">NAMRATA VYAS
  2 DAY FOR JURY 
</t>
  </si>
  <si>
    <t>PROF. PRAGNESH SHAH</t>
  </si>
  <si>
    <t xml:space="preserve">COLLEGE OF ARCHITECTURE </t>
  </si>
  <si>
    <t xml:space="preserve">SVIT VASAD </t>
  </si>
  <si>
    <t xml:space="preserve">I/C PRINCIPAL </t>
  </si>
  <si>
    <t>October 01, 2024 to October 23, 2024</t>
  </si>
  <si>
    <t>October 24, 2024 to October 31, 2024</t>
  </si>
  <si>
    <t>Emp.
Code</t>
  </si>
  <si>
    <t>00096</t>
  </si>
  <si>
    <t>00095</t>
  </si>
  <si>
    <t>01303</t>
  </si>
  <si>
    <t>00086</t>
  </si>
  <si>
    <t>PROF. PREETY SHAH</t>
  </si>
  <si>
    <t>PROF. TANIYA PATEL</t>
  </si>
  <si>
    <t>PROF. NAMRATA VYAS</t>
  </si>
  <si>
    <t>PROF. SUGURESH SULTANPUR</t>
  </si>
  <si>
    <t>01304</t>
  </si>
  <si>
    <t>01305</t>
  </si>
  <si>
    <t>DAY'S ATTENDED DURING THE MONTH</t>
  </si>
  <si>
    <t>12 IN CASE OF 4 WEEK IN A MONTH &amp; 15 IN CASE OF 5 WEEK BUT SALARY IS FIX RS. 75000</t>
  </si>
  <si>
    <t>12 IN CASE OF 4 WEEK IN A MONTH &amp; 15 IN CASE OF 5 WEEK BUT SALARY IS FIX RS. 26400</t>
  </si>
  <si>
    <t>PROF. HITEN J CHAVDA</t>
  </si>
  <si>
    <t>PROF. HARDIK N TAMBOLI</t>
  </si>
  <si>
    <t>12 IN CASE OF 4 WEEK IN A MONTH &amp; 15 IN CASE OF 5 WEEK BUT SALARY IS FIX RS. 42000</t>
  </si>
  <si>
    <t>8 IN CASE OF 4 WEEK IN A MONTH &amp; 15 IN CASE OF 10 WEEK BUT SALARY IS FIX RS. 20000</t>
  </si>
  <si>
    <t>She is appointed with Fix Salary of Rs. 75000/- (She has to be present on every Tuedsday, Wednesday &amp; Thursday of the month)</t>
  </si>
  <si>
    <t xml:space="preserve">Days attended are more </t>
  </si>
  <si>
    <t>Hiten Chavda Monday,Tuesday,Thursday</t>
  </si>
  <si>
    <t>Hardik Tamboli Wednesday &amp; Thursday</t>
  </si>
  <si>
    <t>Suguresh Sultanpur Wednesday &amp; Thursday</t>
  </si>
  <si>
    <t>2/3 Days In Week (Namrata Vyas)</t>
  </si>
  <si>
    <t>Week 1 Day 2000 Fix</t>
  </si>
  <si>
    <t>Note :</t>
  </si>
  <si>
    <t>The following staff members have had an excess payment made last month recovered from this month’s salary</t>
  </si>
  <si>
    <t xml:space="preserve"> Prof. Taniya Patel Oct-2025 Salary 500/- </t>
  </si>
  <si>
    <t xml:space="preserve">Prof. Hiten J Chavda Oct-2025 Salary 1346/- </t>
  </si>
  <si>
    <t>Prof. Preety Shah</t>
  </si>
  <si>
    <t>DL For RSP Dt. 6th Jan 2026 To 10th Jan 2026</t>
  </si>
  <si>
    <t>Prof. Suguresh Sultanpur</t>
  </si>
  <si>
    <t>Prof. Hiten Chavda</t>
  </si>
  <si>
    <t>DL For RSP Dt. 27th Jan 2026 To 1th Feb 2026</t>
  </si>
  <si>
    <t>6 Days</t>
  </si>
  <si>
    <t>Prof. Hardik Tamboli is Half Day on 08/01/2026 &amp; 29/01/2026</t>
  </si>
  <si>
    <t>4 Days</t>
  </si>
  <si>
    <t>Amanraj Parmar</t>
  </si>
  <si>
    <t>VISITING FACULTY SALARY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</si>
</sst>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4" xfId="0" applyFont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5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9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center" wrapText="1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1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3" fontId="2" fillId="0" borderId="0" xfId="0" applyNumberFormat="1" applyFont="1" applyAlignment="1">
      <alignment horizontal="left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3B22-5632-4DEB-8F94-002FBAF11182}">
  <dimension ref="A1:Z32"/>
  <sheetViews>
    <sheetView tabSelected="1" view="pageBreakPreview" zoomScaleNormal="100" zoomScaleSheetLayoutView="100" workbookViewId="0">
      <selection activeCell="G6" sqref="G6"/>
    </sheetView>
  </sheetViews>
  <sheetFormatPr defaultRowHeight="14.4" x14ac:dyDescent="0.3"/>
  <cols>
    <col min="1" max="1" width="4.88671875" bestFit="1" customWidth="1"/>
    <col min="2" max="2" width="7.109375" bestFit="1" customWidth="1"/>
    <col min="3" max="3" width="31.6640625" bestFit="1" customWidth="1"/>
    <col min="4" max="4" width="10.33203125" bestFit="1" customWidth="1"/>
    <col min="5" max="5" width="13.88671875" customWidth="1"/>
    <col min="6" max="6" width="15.4414062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46172</v>
      </c>
    </row>
    <row r="6" spans="1:10" s="106" customFormat="1" ht="69.599999999999994" x14ac:dyDescent="0.3">
      <c r="A6" s="157" t="s">
        <v>3</v>
      </c>
      <c r="B6" s="157" t="s">
        <v>89</v>
      </c>
      <c r="C6" s="157" t="s">
        <v>0</v>
      </c>
      <c r="D6" s="157" t="s">
        <v>6</v>
      </c>
      <c r="E6" s="157" t="s">
        <v>100</v>
      </c>
      <c r="F6" s="157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57">
        <v>1</v>
      </c>
      <c r="B8" s="157"/>
      <c r="C8" s="4" t="s">
        <v>8</v>
      </c>
      <c r="D8" s="158">
        <v>0</v>
      </c>
      <c r="E8" s="158">
        <v>8</v>
      </c>
      <c r="F8" s="158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13</v>
      </c>
      <c r="E9" s="17">
        <v>12</v>
      </c>
      <c r="F9" s="17">
        <v>75000</v>
      </c>
      <c r="G9" s="18">
        <f>F9/E9*D9</f>
        <v>81250</v>
      </c>
      <c r="I9" s="156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6</v>
      </c>
      <c r="E10" s="17">
        <v>8</v>
      </c>
      <c r="F10" s="17">
        <v>26400</v>
      </c>
      <c r="G10" s="18">
        <f>F10/E10*D10</f>
        <v>19800</v>
      </c>
    </row>
    <row r="11" spans="1:10" s="118" customFormat="1" ht="34.950000000000003" customHeight="1" x14ac:dyDescent="0.3">
      <c r="A11" s="44">
        <v>3</v>
      </c>
      <c r="B11" s="113" t="s">
        <v>98</v>
      </c>
      <c r="C11" s="114" t="s">
        <v>103</v>
      </c>
      <c r="D11" s="115">
        <v>8</v>
      </c>
      <c r="E11" s="116">
        <v>13</v>
      </c>
      <c r="F11" s="116">
        <v>42000</v>
      </c>
      <c r="G11" s="18">
        <f t="shared" ref="G11:G12" si="0">F11/E11*D11</f>
        <v>25846.153846153848</v>
      </c>
      <c r="I11" s="156" t="s">
        <v>108</v>
      </c>
    </row>
    <row r="12" spans="1:10" ht="34.950000000000003" customHeight="1" x14ac:dyDescent="0.3">
      <c r="A12" s="94">
        <v>4</v>
      </c>
      <c r="B12" s="96" t="s">
        <v>99</v>
      </c>
      <c r="C12" s="105" t="s">
        <v>104</v>
      </c>
      <c r="D12" s="104">
        <v>0</v>
      </c>
      <c r="E12" s="17">
        <v>8</v>
      </c>
      <c r="F12" s="17">
        <v>26400</v>
      </c>
      <c r="G12" s="18">
        <f t="shared" si="0"/>
        <v>0</v>
      </c>
      <c r="I12" s="119" t="s">
        <v>105</v>
      </c>
    </row>
    <row r="13" spans="1:10" s="106" customFormat="1" ht="36" x14ac:dyDescent="0.3">
      <c r="A13" s="162" t="s">
        <v>4</v>
      </c>
      <c r="B13" s="163"/>
      <c r="C13" s="163"/>
      <c r="D13" s="163"/>
      <c r="E13" s="164"/>
      <c r="F13" s="153"/>
      <c r="G13" s="154">
        <f>SUM(G8:G12)</f>
        <v>126896.15384615384</v>
      </c>
      <c r="I13" s="156" t="s">
        <v>102</v>
      </c>
    </row>
    <row r="14" spans="1:10" ht="17.399999999999999" x14ac:dyDescent="0.35">
      <c r="A14" s="127"/>
      <c r="B14" s="127"/>
      <c r="C14" s="127"/>
      <c r="D14" s="127"/>
      <c r="E14" s="127"/>
      <c r="F14" s="128"/>
      <c r="G14" s="129"/>
    </row>
    <row r="15" spans="1:10" ht="14.4" customHeight="1" x14ac:dyDescent="0.3">
      <c r="A15" s="165"/>
      <c r="B15" s="165"/>
      <c r="C15" s="165"/>
      <c r="D15" s="165"/>
      <c r="E15" s="165"/>
      <c r="F15" s="165"/>
      <c r="G15" s="155"/>
    </row>
    <row r="16" spans="1:10" ht="14.4" customHeight="1" x14ac:dyDescent="0.3">
      <c r="A16" s="165"/>
      <c r="B16" s="165"/>
      <c r="C16" s="165"/>
      <c r="D16" s="165"/>
      <c r="E16" s="165"/>
      <c r="F16" s="165"/>
      <c r="G16" s="155"/>
    </row>
    <row r="17" spans="1:26" ht="14.4" customHeight="1" x14ac:dyDescent="0.3">
      <c r="A17" s="165"/>
      <c r="B17" s="165"/>
      <c r="C17" s="165"/>
      <c r="D17" s="165"/>
      <c r="E17" s="165"/>
      <c r="F17" s="165"/>
      <c r="G17" s="155"/>
      <c r="I17" s="107" t="s">
        <v>109</v>
      </c>
    </row>
    <row r="18" spans="1:26" ht="14.4" customHeight="1" x14ac:dyDescent="0.3">
      <c r="I18" s="107" t="s">
        <v>110</v>
      </c>
    </row>
    <row r="19" spans="1:26" x14ac:dyDescent="0.3">
      <c r="A19" s="167"/>
      <c r="B19" s="167"/>
      <c r="C19" s="167"/>
      <c r="D19" s="167"/>
      <c r="E19" s="167"/>
      <c r="F19" s="167"/>
      <c r="G19" s="167"/>
      <c r="I19" s="107" t="s">
        <v>111</v>
      </c>
    </row>
    <row r="20" spans="1:26" ht="17.399999999999999" x14ac:dyDescent="0.35">
      <c r="A20" s="1"/>
      <c r="B20" s="1"/>
      <c r="C20" s="1"/>
      <c r="D20" s="2"/>
      <c r="E20" s="2"/>
      <c r="F20" s="2"/>
      <c r="G20" s="3"/>
      <c r="I20" s="107" t="s">
        <v>112</v>
      </c>
    </row>
    <row r="21" spans="1:26" ht="17.399999999999999" x14ac:dyDescent="0.35">
      <c r="A21" s="1"/>
      <c r="B21" s="1"/>
      <c r="C21" s="1"/>
      <c r="D21" s="2"/>
      <c r="E21" s="2"/>
      <c r="F21" s="2"/>
      <c r="G21" s="3"/>
    </row>
    <row r="22" spans="1:26" ht="17.399999999999999" x14ac:dyDescent="0.35">
      <c r="A22" s="1"/>
      <c r="B22" s="1"/>
      <c r="C22" s="1"/>
      <c r="D22" s="2"/>
      <c r="E22" s="2"/>
      <c r="F22" s="2"/>
      <c r="G22" s="3"/>
    </row>
    <row r="23" spans="1:26" ht="17.399999999999999" x14ac:dyDescent="0.35">
      <c r="A23" s="1"/>
      <c r="B23" s="1"/>
      <c r="C23" s="1"/>
      <c r="D23" s="2"/>
      <c r="E23" s="2"/>
      <c r="F23" s="2"/>
      <c r="G23" s="3"/>
      <c r="I23" s="107" t="s">
        <v>113</v>
      </c>
    </row>
    <row r="24" spans="1:26" ht="17.399999999999999" x14ac:dyDescent="0.35">
      <c r="A24" s="1"/>
      <c r="B24" s="1"/>
      <c r="C24" s="1"/>
      <c r="D24" s="2"/>
      <c r="E24" s="2"/>
      <c r="F24" s="2"/>
      <c r="G24" s="3"/>
    </row>
    <row r="25" spans="1:26" ht="17.25" customHeight="1" x14ac:dyDescent="0.35">
      <c r="A25" s="1"/>
      <c r="B25" s="1"/>
      <c r="C25" s="10"/>
      <c r="D25" s="2"/>
      <c r="E25" s="2"/>
      <c r="F25" s="168" t="s">
        <v>61</v>
      </c>
      <c r="G25" s="168"/>
    </row>
    <row r="26" spans="1:26" x14ac:dyDescent="0.3">
      <c r="F26" s="166" t="s">
        <v>86</v>
      </c>
      <c r="G26" s="166"/>
    </row>
    <row r="27" spans="1:26" x14ac:dyDescent="0.3">
      <c r="F27" s="166" t="s">
        <v>84</v>
      </c>
      <c r="G27" s="166"/>
    </row>
    <row r="28" spans="1:26" x14ac:dyDescent="0.3">
      <c r="F28" s="166" t="s">
        <v>85</v>
      </c>
      <c r="G28" s="166"/>
    </row>
    <row r="30" spans="1:26" ht="14.4" customHeight="1" x14ac:dyDescent="0.3"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spans="1:26" ht="14.4" customHeight="1" x14ac:dyDescent="0.3"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 spans="1:26" ht="14.4" customHeight="1" x14ac:dyDescent="0.3"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</sheetData>
  <mergeCells count="15">
    <mergeCell ref="F26:G26"/>
    <mergeCell ref="F27:G27"/>
    <mergeCell ref="F28:G28"/>
    <mergeCell ref="A16:C16"/>
    <mergeCell ref="D16:F16"/>
    <mergeCell ref="A17:C17"/>
    <mergeCell ref="D17:F17"/>
    <mergeCell ref="A19:G19"/>
    <mergeCell ref="F25:G25"/>
    <mergeCell ref="A2:G3"/>
    <mergeCell ref="A4:G4"/>
    <mergeCell ref="A7:F7"/>
    <mergeCell ref="A13:E13"/>
    <mergeCell ref="A15:C15"/>
    <mergeCell ref="D15:F15"/>
  </mergeCells>
  <pageMargins left="0.7" right="0.7" top="0.75" bottom="0.75" header="0.3" footer="0.3"/>
  <pageSetup paperSize="9" scale="90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CECB-E436-4A7B-85C1-D47AE9670756}">
  <dimension ref="A1:Z29"/>
  <sheetViews>
    <sheetView view="pageBreakPreview" zoomScaleNormal="100" zoomScaleSheetLayoutView="100" workbookViewId="0">
      <selection activeCell="A5" sqref="A5"/>
    </sheetView>
  </sheetViews>
  <sheetFormatPr defaultRowHeight="14.4" x14ac:dyDescent="0.3"/>
  <cols>
    <col min="1" max="1" width="4.88671875" bestFit="1" customWidth="1"/>
    <col min="2" max="2" width="7.109375" bestFit="1" customWidth="1"/>
    <col min="3" max="3" width="31.6640625" bestFit="1" customWidth="1"/>
    <col min="4" max="4" width="10.33203125" bestFit="1" customWidth="1"/>
    <col min="5" max="5" width="13.88671875" customWidth="1"/>
    <col min="6" max="6" width="15.4414062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127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46158</v>
      </c>
    </row>
    <row r="6" spans="1:10" s="106" customFormat="1" ht="69.599999999999994" x14ac:dyDescent="0.3">
      <c r="A6" s="151" t="s">
        <v>3</v>
      </c>
      <c r="B6" s="151" t="s">
        <v>89</v>
      </c>
      <c r="C6" s="151" t="s">
        <v>0</v>
      </c>
      <c r="D6" s="151" t="s">
        <v>6</v>
      </c>
      <c r="E6" s="151" t="s">
        <v>100</v>
      </c>
      <c r="F6" s="151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51">
        <v>1</v>
      </c>
      <c r="B8" s="151"/>
      <c r="C8" s="4" t="s">
        <v>8</v>
      </c>
      <c r="D8" s="152">
        <v>0</v>
      </c>
      <c r="E8" s="152">
        <v>8</v>
      </c>
      <c r="F8" s="152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/>
      <c r="C9" s="105" t="s">
        <v>126</v>
      </c>
      <c r="D9" s="103">
        <v>8</v>
      </c>
      <c r="E9" s="17">
        <v>8</v>
      </c>
      <c r="F9" s="17">
        <v>3000</v>
      </c>
      <c r="G9" s="18">
        <f>F9*E9</f>
        <v>24000</v>
      </c>
      <c r="I9" s="150" t="s">
        <v>107</v>
      </c>
    </row>
    <row r="10" spans="1:10" s="106" customFormat="1" ht="36" x14ac:dyDescent="0.3">
      <c r="A10" s="162" t="s">
        <v>4</v>
      </c>
      <c r="B10" s="163"/>
      <c r="C10" s="163"/>
      <c r="D10" s="163"/>
      <c r="E10" s="164"/>
      <c r="F10" s="153"/>
      <c r="G10" s="154">
        <f>SUM(G8:G9)</f>
        <v>24000</v>
      </c>
      <c r="I10" s="150" t="s">
        <v>102</v>
      </c>
    </row>
    <row r="11" spans="1:10" ht="17.399999999999999" x14ac:dyDescent="0.35">
      <c r="A11" s="127"/>
      <c r="B11" s="127"/>
      <c r="C11" s="127"/>
      <c r="D11" s="127"/>
      <c r="E11" s="127"/>
      <c r="F11" s="128"/>
      <c r="G11" s="129"/>
    </row>
    <row r="12" spans="1:10" ht="14.4" customHeight="1" x14ac:dyDescent="0.3">
      <c r="A12" s="165"/>
      <c r="B12" s="165"/>
      <c r="C12" s="165"/>
      <c r="D12" s="165"/>
      <c r="E12" s="165"/>
      <c r="F12" s="165"/>
      <c r="G12" s="149"/>
    </row>
    <row r="13" spans="1:10" ht="14.4" customHeight="1" x14ac:dyDescent="0.3">
      <c r="A13" s="165"/>
      <c r="B13" s="165"/>
      <c r="C13" s="165"/>
      <c r="D13" s="165"/>
      <c r="E13" s="165"/>
      <c r="F13" s="165"/>
      <c r="G13" s="149"/>
    </row>
    <row r="14" spans="1:10" ht="14.4" customHeight="1" x14ac:dyDescent="0.3">
      <c r="A14" s="165"/>
      <c r="B14" s="165"/>
      <c r="C14" s="165"/>
      <c r="D14" s="165"/>
      <c r="E14" s="165"/>
      <c r="F14" s="165"/>
      <c r="G14" s="149"/>
      <c r="I14" s="107" t="s">
        <v>109</v>
      </c>
    </row>
    <row r="15" spans="1:10" ht="14.4" customHeight="1" x14ac:dyDescent="0.3">
      <c r="I15" s="107" t="s">
        <v>110</v>
      </c>
    </row>
    <row r="16" spans="1:10" x14ac:dyDescent="0.3">
      <c r="A16" s="167"/>
      <c r="B16" s="167"/>
      <c r="C16" s="167"/>
      <c r="D16" s="167"/>
      <c r="E16" s="167"/>
      <c r="F16" s="167"/>
      <c r="G16" s="167"/>
      <c r="I16" s="107" t="s">
        <v>111</v>
      </c>
    </row>
    <row r="17" spans="1:26" ht="17.399999999999999" x14ac:dyDescent="0.35">
      <c r="A17" s="1"/>
      <c r="B17" s="1"/>
      <c r="C17" s="1"/>
      <c r="D17" s="2"/>
      <c r="E17" s="2"/>
      <c r="F17" s="2"/>
      <c r="G17" s="3"/>
      <c r="I17" s="107" t="s">
        <v>112</v>
      </c>
    </row>
    <row r="18" spans="1:26" ht="17.399999999999999" x14ac:dyDescent="0.35">
      <c r="A18" s="1"/>
      <c r="B18" s="1"/>
      <c r="C18" s="1"/>
      <c r="D18" s="2"/>
      <c r="E18" s="2"/>
      <c r="F18" s="2"/>
      <c r="G18" s="3"/>
    </row>
    <row r="19" spans="1:26" ht="17.399999999999999" x14ac:dyDescent="0.35">
      <c r="A19" s="1"/>
      <c r="B19" s="1"/>
      <c r="C19" s="1"/>
      <c r="D19" s="2"/>
      <c r="E19" s="2"/>
      <c r="F19" s="2"/>
      <c r="G19" s="3"/>
    </row>
    <row r="20" spans="1:26" ht="17.399999999999999" x14ac:dyDescent="0.35">
      <c r="A20" s="1"/>
      <c r="B20" s="1"/>
      <c r="C20" s="1"/>
      <c r="D20" s="2"/>
      <c r="E20" s="2"/>
      <c r="F20" s="2"/>
      <c r="G20" s="3"/>
      <c r="I20" s="107" t="s">
        <v>113</v>
      </c>
    </row>
    <row r="21" spans="1:26" ht="17.399999999999999" x14ac:dyDescent="0.35">
      <c r="A21" s="1"/>
      <c r="B21" s="1"/>
      <c r="C21" s="1"/>
      <c r="D21" s="2"/>
      <c r="E21" s="2"/>
      <c r="F21" s="2"/>
      <c r="G21" s="3"/>
    </row>
    <row r="22" spans="1:26" ht="17.25" customHeight="1" x14ac:dyDescent="0.35">
      <c r="A22" s="1"/>
      <c r="B22" s="1"/>
      <c r="C22" s="10"/>
      <c r="D22" s="2"/>
      <c r="E22" s="2"/>
      <c r="F22" s="168" t="s">
        <v>61</v>
      </c>
      <c r="G22" s="168"/>
    </row>
    <row r="23" spans="1:26" x14ac:dyDescent="0.3">
      <c r="F23" s="166" t="s">
        <v>86</v>
      </c>
      <c r="G23" s="166"/>
    </row>
    <row r="24" spans="1:26" x14ac:dyDescent="0.3">
      <c r="F24" s="166" t="s">
        <v>84</v>
      </c>
      <c r="G24" s="166"/>
    </row>
    <row r="25" spans="1:26" x14ac:dyDescent="0.3">
      <c r="F25" s="166" t="s">
        <v>85</v>
      </c>
      <c r="G25" s="166"/>
    </row>
    <row r="27" spans="1:26" ht="14.4" customHeight="1" x14ac:dyDescent="0.3"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spans="1:26" ht="14.4" customHeight="1" x14ac:dyDescent="0.3"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spans="1:26" ht="14.4" customHeight="1" x14ac:dyDescent="0.3"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</sheetData>
  <mergeCells count="15">
    <mergeCell ref="F23:G23"/>
    <mergeCell ref="F24:G24"/>
    <mergeCell ref="F25:G25"/>
    <mergeCell ref="A13:C13"/>
    <mergeCell ref="D13:F13"/>
    <mergeCell ref="A14:C14"/>
    <mergeCell ref="D14:F14"/>
    <mergeCell ref="A16:G16"/>
    <mergeCell ref="F22:G22"/>
    <mergeCell ref="A2:G3"/>
    <mergeCell ref="A4:G4"/>
    <mergeCell ref="A7:F7"/>
    <mergeCell ref="A10:E10"/>
    <mergeCell ref="A12:C12"/>
    <mergeCell ref="D12:F12"/>
  </mergeCells>
  <pageMargins left="0.7" right="0.7" top="0.75" bottom="0.75" header="0.3" footer="0.3"/>
  <pageSetup paperSize="9" scale="90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CFC1-9374-4E40-828D-37AD7A15B436}">
  <dimension ref="A1:Z32"/>
  <sheetViews>
    <sheetView view="pageBreakPreview" topLeftCell="A16" zoomScaleNormal="100" zoomScaleSheetLayoutView="100" workbookViewId="0">
      <selection activeCell="D11" sqref="D11"/>
    </sheetView>
  </sheetViews>
  <sheetFormatPr defaultRowHeight="14.4" x14ac:dyDescent="0.3"/>
  <cols>
    <col min="1" max="1" width="4.88671875" bestFit="1" customWidth="1"/>
    <col min="2" max="2" width="7.109375" bestFit="1" customWidth="1"/>
    <col min="3" max="3" width="31.6640625" bestFit="1" customWidth="1"/>
    <col min="4" max="4" width="10.33203125" bestFit="1" customWidth="1"/>
    <col min="5" max="5" width="13.88671875" customWidth="1"/>
    <col min="6" max="6" width="15.4414062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46143</v>
      </c>
    </row>
    <row r="6" spans="1:10" s="106" customFormat="1" ht="69.599999999999994" x14ac:dyDescent="0.3">
      <c r="A6" s="147" t="s">
        <v>3</v>
      </c>
      <c r="B6" s="147" t="s">
        <v>89</v>
      </c>
      <c r="C6" s="147" t="s">
        <v>0</v>
      </c>
      <c r="D6" s="147" t="s">
        <v>6</v>
      </c>
      <c r="E6" s="147" t="s">
        <v>100</v>
      </c>
      <c r="F6" s="147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47">
        <v>1</v>
      </c>
      <c r="B8" s="147"/>
      <c r="C8" s="4" t="s">
        <v>8</v>
      </c>
      <c r="D8" s="148">
        <v>0</v>
      </c>
      <c r="E8" s="148">
        <v>8</v>
      </c>
      <c r="F8" s="148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16</v>
      </c>
      <c r="E9" s="17">
        <v>15</v>
      </c>
      <c r="F9" s="17">
        <v>75000</v>
      </c>
      <c r="G9" s="18">
        <f>F9/E9*D9</f>
        <v>80000</v>
      </c>
      <c r="I9" s="146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8</v>
      </c>
      <c r="E10" s="17">
        <v>11</v>
      </c>
      <c r="F10" s="17">
        <v>26400</v>
      </c>
      <c r="G10" s="18">
        <f>F10/E10*D10</f>
        <v>19200</v>
      </c>
    </row>
    <row r="11" spans="1:10" s="118" customFormat="1" ht="34.950000000000003" customHeight="1" x14ac:dyDescent="0.3">
      <c r="A11" s="44">
        <v>3</v>
      </c>
      <c r="B11" s="113" t="s">
        <v>98</v>
      </c>
      <c r="C11" s="114" t="s">
        <v>103</v>
      </c>
      <c r="D11" s="115">
        <v>13</v>
      </c>
      <c r="E11" s="116">
        <v>15</v>
      </c>
      <c r="F11" s="116">
        <v>42000</v>
      </c>
      <c r="G11" s="18">
        <f t="shared" ref="G11:G12" si="0">F11/E11*D11</f>
        <v>36400</v>
      </c>
      <c r="I11" s="146" t="s">
        <v>108</v>
      </c>
    </row>
    <row r="12" spans="1:10" ht="34.950000000000003" customHeight="1" x14ac:dyDescent="0.3">
      <c r="A12" s="94">
        <v>4</v>
      </c>
      <c r="B12" s="96" t="s">
        <v>99</v>
      </c>
      <c r="C12" s="105" t="s">
        <v>104</v>
      </c>
      <c r="D12" s="104">
        <v>9</v>
      </c>
      <c r="E12" s="17">
        <v>11</v>
      </c>
      <c r="F12" s="17">
        <v>26400</v>
      </c>
      <c r="G12" s="18">
        <f t="shared" si="0"/>
        <v>21600</v>
      </c>
      <c r="I12" s="119" t="s">
        <v>105</v>
      </c>
    </row>
    <row r="13" spans="1:10" s="106" customFormat="1" ht="36" x14ac:dyDescent="0.3">
      <c r="A13" s="162" t="s">
        <v>4</v>
      </c>
      <c r="B13" s="163"/>
      <c r="C13" s="163"/>
      <c r="D13" s="163"/>
      <c r="E13" s="164"/>
      <c r="F13" s="153"/>
      <c r="G13" s="154">
        <f>SUM(G8:G12)</f>
        <v>157200</v>
      </c>
      <c r="I13" s="146" t="s">
        <v>102</v>
      </c>
    </row>
    <row r="14" spans="1:10" ht="17.399999999999999" x14ac:dyDescent="0.35">
      <c r="A14" s="127"/>
      <c r="B14" s="127"/>
      <c r="C14" s="127"/>
      <c r="D14" s="127"/>
      <c r="E14" s="127"/>
      <c r="F14" s="128"/>
      <c r="G14" s="129"/>
    </row>
    <row r="15" spans="1:10" ht="14.4" customHeight="1" x14ac:dyDescent="0.3">
      <c r="A15" s="165"/>
      <c r="B15" s="165"/>
      <c r="C15" s="165"/>
      <c r="D15" s="165"/>
      <c r="E15" s="165"/>
      <c r="F15" s="165"/>
      <c r="G15" s="145"/>
    </row>
    <row r="16" spans="1:10" ht="14.4" customHeight="1" x14ac:dyDescent="0.3">
      <c r="A16" s="165"/>
      <c r="B16" s="165"/>
      <c r="C16" s="165"/>
      <c r="D16" s="165"/>
      <c r="E16" s="165"/>
      <c r="F16" s="165"/>
      <c r="G16" s="145"/>
    </row>
    <row r="17" spans="1:26" ht="14.4" customHeight="1" x14ac:dyDescent="0.3">
      <c r="A17" s="165"/>
      <c r="B17" s="165"/>
      <c r="C17" s="165"/>
      <c r="D17" s="165"/>
      <c r="E17" s="165"/>
      <c r="F17" s="165"/>
      <c r="G17" s="145"/>
      <c r="I17" s="107" t="s">
        <v>109</v>
      </c>
    </row>
    <row r="18" spans="1:26" ht="14.4" customHeight="1" x14ac:dyDescent="0.3">
      <c r="I18" s="107" t="s">
        <v>110</v>
      </c>
    </row>
    <row r="19" spans="1:26" x14ac:dyDescent="0.3">
      <c r="A19" s="167"/>
      <c r="B19" s="167"/>
      <c r="C19" s="167"/>
      <c r="D19" s="167"/>
      <c r="E19" s="167"/>
      <c r="F19" s="167"/>
      <c r="G19" s="167"/>
      <c r="I19" s="107" t="s">
        <v>111</v>
      </c>
    </row>
    <row r="20" spans="1:26" ht="17.399999999999999" x14ac:dyDescent="0.35">
      <c r="A20" s="1"/>
      <c r="B20" s="1"/>
      <c r="C20" s="1"/>
      <c r="D20" s="2"/>
      <c r="E20" s="2"/>
      <c r="F20" s="2"/>
      <c r="G20" s="3"/>
      <c r="I20" s="107" t="s">
        <v>112</v>
      </c>
    </row>
    <row r="21" spans="1:26" ht="17.399999999999999" x14ac:dyDescent="0.35">
      <c r="A21" s="1"/>
      <c r="B21" s="1"/>
      <c r="C21" s="1"/>
      <c r="D21" s="2"/>
      <c r="E21" s="2"/>
      <c r="F21" s="2"/>
      <c r="G21" s="3"/>
    </row>
    <row r="22" spans="1:26" ht="17.399999999999999" x14ac:dyDescent="0.35">
      <c r="A22" s="1"/>
      <c r="B22" s="1"/>
      <c r="C22" s="1"/>
      <c r="D22" s="2"/>
      <c r="E22" s="2"/>
      <c r="F22" s="2"/>
      <c r="G22" s="3"/>
    </row>
    <row r="23" spans="1:26" ht="17.399999999999999" x14ac:dyDescent="0.35">
      <c r="A23" s="1"/>
      <c r="B23" s="1"/>
      <c r="C23" s="1"/>
      <c r="D23" s="2"/>
      <c r="E23" s="2"/>
      <c r="F23" s="2"/>
      <c r="G23" s="3"/>
      <c r="I23" s="107" t="s">
        <v>113</v>
      </c>
    </row>
    <row r="24" spans="1:26" ht="17.399999999999999" x14ac:dyDescent="0.35">
      <c r="A24" s="1"/>
      <c r="B24" s="1"/>
      <c r="C24" s="1"/>
      <c r="D24" s="2"/>
      <c r="E24" s="2"/>
      <c r="F24" s="2"/>
      <c r="G24" s="3"/>
    </row>
    <row r="25" spans="1:26" ht="17.25" customHeight="1" x14ac:dyDescent="0.35">
      <c r="A25" s="1"/>
      <c r="B25" s="1"/>
      <c r="C25" s="10"/>
      <c r="D25" s="2"/>
      <c r="E25" s="2"/>
      <c r="F25" s="168" t="s">
        <v>61</v>
      </c>
      <c r="G25" s="168"/>
    </row>
    <row r="26" spans="1:26" x14ac:dyDescent="0.3">
      <c r="F26" s="166" t="s">
        <v>86</v>
      </c>
      <c r="G26" s="166"/>
    </row>
    <row r="27" spans="1:26" x14ac:dyDescent="0.3">
      <c r="F27" s="166" t="s">
        <v>84</v>
      </c>
      <c r="G27" s="166"/>
    </row>
    <row r="28" spans="1:26" x14ac:dyDescent="0.3">
      <c r="F28" s="166" t="s">
        <v>85</v>
      </c>
      <c r="G28" s="166"/>
    </row>
    <row r="30" spans="1:26" ht="14.4" customHeight="1" x14ac:dyDescent="0.3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spans="1:26" ht="14.4" customHeight="1" x14ac:dyDescent="0.3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spans="1:26" ht="14.4" customHeight="1" x14ac:dyDescent="0.3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</sheetData>
  <mergeCells count="15">
    <mergeCell ref="A2:G3"/>
    <mergeCell ref="A4:G4"/>
    <mergeCell ref="A7:F7"/>
    <mergeCell ref="A13:E13"/>
    <mergeCell ref="A15:C15"/>
    <mergeCell ref="D15:F15"/>
    <mergeCell ref="F26:G26"/>
    <mergeCell ref="F27:G27"/>
    <mergeCell ref="F28:G28"/>
    <mergeCell ref="A16:C16"/>
    <mergeCell ref="D16:F16"/>
    <mergeCell ref="A17:C17"/>
    <mergeCell ref="D17:F17"/>
    <mergeCell ref="A19:G19"/>
    <mergeCell ref="F25:G25"/>
  </mergeCells>
  <pageMargins left="0.7" right="0.7" top="0.75" bottom="0.75" header="0.3" footer="0.3"/>
  <pageSetup paperSize="9" scale="90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AD4A-A28C-47CC-BA77-953BA2E1C6D9}">
  <dimension ref="A1:Z33"/>
  <sheetViews>
    <sheetView view="pageBreakPreview" zoomScaleNormal="100" zoomScaleSheetLayoutView="100" workbookViewId="0">
      <selection activeCell="D9" sqref="D9"/>
    </sheetView>
  </sheetViews>
  <sheetFormatPr defaultRowHeight="14.4" x14ac:dyDescent="0.3"/>
  <cols>
    <col min="1" max="1" width="4.88671875" bestFit="1" customWidth="1"/>
    <col min="2" max="2" width="7.109375" bestFit="1" customWidth="1"/>
    <col min="3" max="3" width="31.6640625" bestFit="1" customWidth="1"/>
    <col min="4" max="4" width="10.33203125" bestFit="1" customWidth="1"/>
    <col min="5" max="5" width="13.88671875" customWidth="1"/>
    <col min="6" max="6" width="15.4414062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46106</v>
      </c>
    </row>
    <row r="6" spans="1:10" s="106" customFormat="1" ht="69.599999999999994" x14ac:dyDescent="0.3">
      <c r="A6" s="142" t="s">
        <v>3</v>
      </c>
      <c r="B6" s="142" t="s">
        <v>89</v>
      </c>
      <c r="C6" s="142" t="s">
        <v>0</v>
      </c>
      <c r="D6" s="142" t="s">
        <v>6</v>
      </c>
      <c r="E6" s="142" t="s">
        <v>100</v>
      </c>
      <c r="F6" s="142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42">
        <v>1</v>
      </c>
      <c r="B8" s="142"/>
      <c r="C8" s="4" t="s">
        <v>8</v>
      </c>
      <c r="D8" s="144">
        <v>0</v>
      </c>
      <c r="E8" s="144">
        <v>8</v>
      </c>
      <c r="F8" s="144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11</v>
      </c>
      <c r="E9" s="17">
        <v>12</v>
      </c>
      <c r="F9" s="17">
        <v>75000</v>
      </c>
      <c r="G9" s="18">
        <f>F9/E9*D9</f>
        <v>68750</v>
      </c>
      <c r="I9" s="141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6</v>
      </c>
      <c r="E10" s="17">
        <v>7</v>
      </c>
      <c r="F10" s="17">
        <v>26400</v>
      </c>
      <c r="G10" s="18">
        <f>F10/E10*D10</f>
        <v>22628.571428571428</v>
      </c>
    </row>
    <row r="11" spans="1:10" ht="34.950000000000003" customHeight="1" x14ac:dyDescent="0.3">
      <c r="A11" s="44">
        <v>3</v>
      </c>
      <c r="B11" s="96" t="s">
        <v>92</v>
      </c>
      <c r="C11" s="105" t="s">
        <v>97</v>
      </c>
      <c r="D11" s="103">
        <v>0</v>
      </c>
      <c r="E11" s="17">
        <v>8</v>
      </c>
      <c r="F11" s="17">
        <v>20000</v>
      </c>
      <c r="G11" s="18">
        <f t="shared" ref="G11:G13" si="0">F11/E11*D11</f>
        <v>0</v>
      </c>
      <c r="I11" s="141" t="s">
        <v>108</v>
      </c>
    </row>
    <row r="12" spans="1:10" s="118" customFormat="1" ht="34.950000000000003" customHeight="1" x14ac:dyDescent="0.3">
      <c r="A12" s="94">
        <v>4</v>
      </c>
      <c r="B12" s="113" t="s">
        <v>98</v>
      </c>
      <c r="C12" s="114" t="s">
        <v>103</v>
      </c>
      <c r="D12" s="115">
        <v>9</v>
      </c>
      <c r="E12" s="116">
        <v>11</v>
      </c>
      <c r="F12" s="116">
        <v>42000</v>
      </c>
      <c r="G12" s="18">
        <f t="shared" si="0"/>
        <v>34363.63636363636</v>
      </c>
      <c r="I12" s="119" t="s">
        <v>105</v>
      </c>
    </row>
    <row r="13" spans="1:10" ht="34.950000000000003" customHeight="1" x14ac:dyDescent="0.3">
      <c r="A13" s="44">
        <v>5</v>
      </c>
      <c r="B13" s="96" t="s">
        <v>99</v>
      </c>
      <c r="C13" s="105" t="s">
        <v>104</v>
      </c>
      <c r="D13" s="104">
        <v>6</v>
      </c>
      <c r="E13" s="17">
        <v>7</v>
      </c>
      <c r="F13" s="17">
        <v>26400</v>
      </c>
      <c r="G13" s="18">
        <f t="shared" si="0"/>
        <v>22628.571428571428</v>
      </c>
      <c r="I13" s="141" t="s">
        <v>102</v>
      </c>
    </row>
    <row r="14" spans="1:10" ht="17.399999999999999" x14ac:dyDescent="0.35">
      <c r="A14" s="169" t="s">
        <v>4</v>
      </c>
      <c r="B14" s="170"/>
      <c r="C14" s="170"/>
      <c r="D14" s="170"/>
      <c r="E14" s="171"/>
      <c r="F14" s="143"/>
      <c r="G14" s="7">
        <f>SUM(G8:G13)</f>
        <v>148370.77922077919</v>
      </c>
    </row>
    <row r="15" spans="1:10" ht="17.399999999999999" x14ac:dyDescent="0.35">
      <c r="A15" s="127"/>
      <c r="B15" s="127"/>
      <c r="C15" s="127"/>
      <c r="D15" s="127"/>
      <c r="E15" s="127"/>
      <c r="F15" s="128"/>
      <c r="G15" s="129"/>
    </row>
    <row r="16" spans="1:10" ht="14.4" customHeight="1" x14ac:dyDescent="0.3">
      <c r="A16" s="165"/>
      <c r="B16" s="165"/>
      <c r="C16" s="165"/>
      <c r="D16" s="165"/>
      <c r="E16" s="165"/>
      <c r="F16" s="165"/>
      <c r="G16" s="140"/>
    </row>
    <row r="17" spans="1:26" ht="14.4" customHeight="1" x14ac:dyDescent="0.3">
      <c r="A17" s="165"/>
      <c r="B17" s="165"/>
      <c r="C17" s="165"/>
      <c r="D17" s="165"/>
      <c r="E17" s="165"/>
      <c r="F17" s="165"/>
      <c r="G17" s="140"/>
    </row>
    <row r="18" spans="1:26" ht="14.4" customHeight="1" x14ac:dyDescent="0.3">
      <c r="A18" s="165"/>
      <c r="B18" s="165"/>
      <c r="C18" s="165"/>
      <c r="D18" s="165"/>
      <c r="E18" s="165"/>
      <c r="F18" s="165"/>
      <c r="G18" s="140"/>
      <c r="I18" s="107" t="s">
        <v>109</v>
      </c>
    </row>
    <row r="19" spans="1:26" ht="14.4" customHeight="1" x14ac:dyDescent="0.3">
      <c r="I19" s="107" t="s">
        <v>110</v>
      </c>
    </row>
    <row r="20" spans="1:26" x14ac:dyDescent="0.3">
      <c r="A20" s="167"/>
      <c r="B20" s="167"/>
      <c r="C20" s="167"/>
      <c r="D20" s="167"/>
      <c r="E20" s="167"/>
      <c r="F20" s="167"/>
      <c r="G20" s="167"/>
      <c r="I20" s="107" t="s">
        <v>111</v>
      </c>
    </row>
    <row r="21" spans="1:26" ht="17.399999999999999" x14ac:dyDescent="0.35">
      <c r="A21" s="1"/>
      <c r="B21" s="1"/>
      <c r="C21" s="1"/>
      <c r="D21" s="2"/>
      <c r="E21" s="2"/>
      <c r="F21" s="2"/>
      <c r="G21" s="3"/>
      <c r="I21" s="107" t="s">
        <v>112</v>
      </c>
    </row>
    <row r="22" spans="1:26" ht="17.399999999999999" x14ac:dyDescent="0.35">
      <c r="A22" s="1"/>
      <c r="B22" s="1"/>
      <c r="C22" s="1"/>
      <c r="D22" s="2"/>
      <c r="E22" s="2"/>
      <c r="F22" s="2"/>
      <c r="G22" s="3"/>
    </row>
    <row r="23" spans="1:26" ht="17.399999999999999" x14ac:dyDescent="0.35">
      <c r="A23" s="1"/>
      <c r="B23" s="1"/>
      <c r="C23" s="1"/>
      <c r="D23" s="2"/>
      <c r="E23" s="2"/>
      <c r="F23" s="2"/>
      <c r="G23" s="3"/>
    </row>
    <row r="24" spans="1:26" ht="17.399999999999999" x14ac:dyDescent="0.35">
      <c r="A24" s="1"/>
      <c r="B24" s="1"/>
      <c r="C24" s="1"/>
      <c r="D24" s="2"/>
      <c r="E24" s="2"/>
      <c r="F24" s="2"/>
      <c r="G24" s="3"/>
      <c r="I24" s="107" t="s">
        <v>113</v>
      </c>
    </row>
    <row r="25" spans="1:26" ht="17.399999999999999" x14ac:dyDescent="0.35">
      <c r="A25" s="1"/>
      <c r="B25" s="1"/>
      <c r="C25" s="1"/>
      <c r="D25" s="2"/>
      <c r="E25" s="2"/>
      <c r="F25" s="2"/>
      <c r="G25" s="3"/>
    </row>
    <row r="26" spans="1:26" ht="17.25" customHeight="1" x14ac:dyDescent="0.35">
      <c r="A26" s="1"/>
      <c r="B26" s="1"/>
      <c r="C26" s="10"/>
      <c r="D26" s="2"/>
      <c r="E26" s="2"/>
      <c r="F26" s="168" t="s">
        <v>61</v>
      </c>
      <c r="G26" s="168"/>
    </row>
    <row r="27" spans="1:26" x14ac:dyDescent="0.3">
      <c r="F27" s="166" t="s">
        <v>86</v>
      </c>
      <c r="G27" s="166"/>
    </row>
    <row r="28" spans="1:26" x14ac:dyDescent="0.3">
      <c r="F28" s="166" t="s">
        <v>84</v>
      </c>
      <c r="G28" s="166"/>
    </row>
    <row r="29" spans="1:26" x14ac:dyDescent="0.3">
      <c r="F29" s="166" t="s">
        <v>85</v>
      </c>
      <c r="G29" s="166"/>
    </row>
    <row r="31" spans="1:26" ht="14.4" customHeight="1" x14ac:dyDescent="0.3"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spans="1:26" ht="14.4" customHeight="1" x14ac:dyDescent="0.3"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spans="9:26" ht="14.4" customHeight="1" x14ac:dyDescent="0.3"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</sheetData>
  <mergeCells count="15">
    <mergeCell ref="A2:G3"/>
    <mergeCell ref="A4:G4"/>
    <mergeCell ref="A7:F7"/>
    <mergeCell ref="A14:E14"/>
    <mergeCell ref="A16:C16"/>
    <mergeCell ref="D16:F16"/>
    <mergeCell ref="F27:G27"/>
    <mergeCell ref="F28:G28"/>
    <mergeCell ref="F29:G29"/>
    <mergeCell ref="A17:C17"/>
    <mergeCell ref="D17:F17"/>
    <mergeCell ref="A18:C18"/>
    <mergeCell ref="D18:F18"/>
    <mergeCell ref="A20:G20"/>
    <mergeCell ref="F26:G26"/>
  </mergeCells>
  <pageMargins left="0.7" right="0.7" top="0.75" bottom="0.75" header="0.3" footer="0.3"/>
  <pageSetup paperSize="9" scale="90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66E6-CA40-4476-8D7E-B8958CC8A0E8}">
  <dimension ref="A1:Z34"/>
  <sheetViews>
    <sheetView view="pageBreakPreview" zoomScaleNormal="100" zoomScaleSheetLayoutView="100" workbookViewId="0">
      <selection activeCell="D17" sqref="D17:F17"/>
    </sheetView>
  </sheetViews>
  <sheetFormatPr defaultRowHeight="14.4" x14ac:dyDescent="0.3"/>
  <cols>
    <col min="1" max="1" width="4.88671875" bestFit="1" customWidth="1"/>
    <col min="2" max="2" width="7.109375" bestFit="1" customWidth="1"/>
    <col min="3" max="3" width="31.6640625" bestFit="1" customWidth="1"/>
    <col min="4" max="4" width="10.33203125" bestFit="1" customWidth="1"/>
    <col min="5" max="5" width="13.88671875" customWidth="1"/>
    <col min="6" max="6" width="15.4414062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46081</v>
      </c>
    </row>
    <row r="6" spans="1:10" s="106" customFormat="1" ht="69.599999999999994" x14ac:dyDescent="0.3">
      <c r="A6" s="137" t="s">
        <v>3</v>
      </c>
      <c r="B6" s="137" t="s">
        <v>89</v>
      </c>
      <c r="C6" s="137" t="s">
        <v>0</v>
      </c>
      <c r="D6" s="137" t="s">
        <v>6</v>
      </c>
      <c r="E6" s="137" t="s">
        <v>100</v>
      </c>
      <c r="F6" s="137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37">
        <v>1</v>
      </c>
      <c r="B8" s="137"/>
      <c r="C8" s="4" t="s">
        <v>8</v>
      </c>
      <c r="D8" s="139">
        <v>0</v>
      </c>
      <c r="E8" s="139">
        <v>8</v>
      </c>
      <c r="F8" s="139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12</v>
      </c>
      <c r="E9" s="17">
        <v>12</v>
      </c>
      <c r="F9" s="17">
        <v>75000</v>
      </c>
      <c r="G9" s="18">
        <f>F9/E9*D9</f>
        <v>75000</v>
      </c>
      <c r="I9" s="136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8</v>
      </c>
      <c r="E10" s="17">
        <v>8</v>
      </c>
      <c r="F10" s="17">
        <v>26400</v>
      </c>
      <c r="G10" s="18">
        <f>F10/E10*D10</f>
        <v>26400</v>
      </c>
    </row>
    <row r="11" spans="1:10" ht="34.950000000000003" customHeight="1" x14ac:dyDescent="0.3">
      <c r="A11" s="44">
        <v>3</v>
      </c>
      <c r="B11" s="96" t="s">
        <v>90</v>
      </c>
      <c r="C11" s="105" t="s">
        <v>95</v>
      </c>
      <c r="D11" s="103">
        <v>1</v>
      </c>
      <c r="E11" s="17">
        <v>4</v>
      </c>
      <c r="F11" s="17">
        <v>2000</v>
      </c>
      <c r="G11" s="18">
        <f>D11*F11</f>
        <v>2000</v>
      </c>
    </row>
    <row r="12" spans="1:10" ht="34.950000000000003" customHeight="1" x14ac:dyDescent="0.3">
      <c r="A12" s="94">
        <v>4</v>
      </c>
      <c r="B12" s="96" t="s">
        <v>92</v>
      </c>
      <c r="C12" s="105" t="s">
        <v>97</v>
      </c>
      <c r="D12" s="103">
        <v>7</v>
      </c>
      <c r="E12" s="17">
        <v>8</v>
      </c>
      <c r="F12" s="17">
        <v>20000</v>
      </c>
      <c r="G12" s="18">
        <f t="shared" ref="G12:G14" si="0">F12/E12*D12</f>
        <v>17500</v>
      </c>
      <c r="I12" s="136" t="s">
        <v>108</v>
      </c>
    </row>
    <row r="13" spans="1:10" s="118" customFormat="1" ht="34.950000000000003" customHeight="1" x14ac:dyDescent="0.3">
      <c r="A13" s="112">
        <v>5</v>
      </c>
      <c r="B13" s="113" t="s">
        <v>98</v>
      </c>
      <c r="C13" s="114" t="s">
        <v>103</v>
      </c>
      <c r="D13" s="115">
        <v>8</v>
      </c>
      <c r="E13" s="116">
        <v>12</v>
      </c>
      <c r="F13" s="116">
        <v>42000</v>
      </c>
      <c r="G13" s="18">
        <f t="shared" si="0"/>
        <v>28000</v>
      </c>
      <c r="I13" s="119" t="s">
        <v>105</v>
      </c>
    </row>
    <row r="14" spans="1:10" ht="34.950000000000003" customHeight="1" x14ac:dyDescent="0.3">
      <c r="A14" s="94">
        <v>6</v>
      </c>
      <c r="B14" s="96" t="s">
        <v>99</v>
      </c>
      <c r="C14" s="105" t="s">
        <v>104</v>
      </c>
      <c r="D14" s="104">
        <v>8</v>
      </c>
      <c r="E14" s="17">
        <v>8</v>
      </c>
      <c r="F14" s="17">
        <v>26400</v>
      </c>
      <c r="G14" s="18">
        <f t="shared" si="0"/>
        <v>26400</v>
      </c>
      <c r="I14" s="136" t="s">
        <v>102</v>
      </c>
    </row>
    <row r="15" spans="1:10" ht="17.399999999999999" x14ac:dyDescent="0.35">
      <c r="A15" s="169" t="s">
        <v>4</v>
      </c>
      <c r="B15" s="170"/>
      <c r="C15" s="170"/>
      <c r="D15" s="170"/>
      <c r="E15" s="171"/>
      <c r="F15" s="138"/>
      <c r="G15" s="7">
        <f>SUM(G8:G14)</f>
        <v>175300</v>
      </c>
    </row>
    <row r="16" spans="1:10" ht="17.399999999999999" x14ac:dyDescent="0.35">
      <c r="A16" s="127"/>
      <c r="B16" s="127"/>
      <c r="C16" s="127"/>
      <c r="D16" s="127"/>
      <c r="E16" s="127"/>
      <c r="F16" s="128"/>
      <c r="G16" s="129"/>
    </row>
    <row r="17" spans="1:26" ht="14.4" customHeight="1" x14ac:dyDescent="0.3">
      <c r="A17" s="165"/>
      <c r="B17" s="165"/>
      <c r="C17" s="165"/>
      <c r="D17" s="165"/>
      <c r="E17" s="165"/>
      <c r="F17" s="165"/>
      <c r="G17" s="135"/>
    </row>
    <row r="18" spans="1:26" ht="14.4" customHeight="1" x14ac:dyDescent="0.3">
      <c r="A18" s="165"/>
      <c r="B18" s="165"/>
      <c r="C18" s="165"/>
      <c r="D18" s="165"/>
      <c r="E18" s="165"/>
      <c r="F18" s="165"/>
      <c r="G18" s="135"/>
    </row>
    <row r="19" spans="1:26" ht="14.4" customHeight="1" x14ac:dyDescent="0.3">
      <c r="A19" s="165"/>
      <c r="B19" s="165"/>
      <c r="C19" s="165"/>
      <c r="D19" s="165"/>
      <c r="E19" s="165"/>
      <c r="F19" s="165"/>
      <c r="G19" s="135"/>
      <c r="I19" s="107" t="s">
        <v>109</v>
      </c>
    </row>
    <row r="20" spans="1:26" ht="14.4" customHeight="1" x14ac:dyDescent="0.3">
      <c r="I20" s="107" t="s">
        <v>110</v>
      </c>
    </row>
    <row r="21" spans="1:26" x14ac:dyDescent="0.3">
      <c r="A21" s="167"/>
      <c r="B21" s="167"/>
      <c r="C21" s="167"/>
      <c r="D21" s="167"/>
      <c r="E21" s="167"/>
      <c r="F21" s="167"/>
      <c r="G21" s="167"/>
      <c r="I21" s="107" t="s">
        <v>111</v>
      </c>
    </row>
    <row r="22" spans="1:26" ht="17.399999999999999" x14ac:dyDescent="0.35">
      <c r="A22" s="1"/>
      <c r="B22" s="1"/>
      <c r="C22" s="1"/>
      <c r="D22" s="2"/>
      <c r="E22" s="2"/>
      <c r="F22" s="2"/>
      <c r="G22" s="3"/>
      <c r="I22" s="107" t="s">
        <v>112</v>
      </c>
    </row>
    <row r="23" spans="1:26" ht="17.399999999999999" x14ac:dyDescent="0.35">
      <c r="A23" s="1"/>
      <c r="B23" s="1"/>
      <c r="C23" s="1"/>
      <c r="D23" s="2"/>
      <c r="E23" s="2"/>
      <c r="F23" s="2"/>
      <c r="G23" s="3"/>
    </row>
    <row r="24" spans="1:26" ht="17.399999999999999" x14ac:dyDescent="0.35">
      <c r="A24" s="1"/>
      <c r="B24" s="1"/>
      <c r="C24" s="1"/>
      <c r="D24" s="2"/>
      <c r="E24" s="2"/>
      <c r="F24" s="2"/>
      <c r="G24" s="3"/>
    </row>
    <row r="25" spans="1:26" ht="17.399999999999999" x14ac:dyDescent="0.35">
      <c r="A25" s="1"/>
      <c r="B25" s="1"/>
      <c r="C25" s="1"/>
      <c r="D25" s="2"/>
      <c r="E25" s="2"/>
      <c r="F25" s="2"/>
      <c r="G25" s="3"/>
      <c r="I25" s="107" t="s">
        <v>113</v>
      </c>
    </row>
    <row r="26" spans="1:26" ht="17.399999999999999" x14ac:dyDescent="0.35">
      <c r="A26" s="1"/>
      <c r="B26" s="1"/>
      <c r="C26" s="1"/>
      <c r="D26" s="2"/>
      <c r="E26" s="2"/>
      <c r="F26" s="2"/>
      <c r="G26" s="3"/>
    </row>
    <row r="27" spans="1:26" ht="17.25" customHeight="1" x14ac:dyDescent="0.35">
      <c r="A27" s="1"/>
      <c r="B27" s="1"/>
      <c r="C27" s="10"/>
      <c r="D27" s="2"/>
      <c r="E27" s="2"/>
      <c r="F27" s="168" t="s">
        <v>61</v>
      </c>
      <c r="G27" s="168"/>
    </row>
    <row r="28" spans="1:26" x14ac:dyDescent="0.3">
      <c r="F28" s="166" t="s">
        <v>86</v>
      </c>
      <c r="G28" s="166"/>
    </row>
    <row r="29" spans="1:26" x14ac:dyDescent="0.3">
      <c r="F29" s="166" t="s">
        <v>84</v>
      </c>
      <c r="G29" s="166"/>
    </row>
    <row r="30" spans="1:26" x14ac:dyDescent="0.3">
      <c r="F30" s="166" t="s">
        <v>85</v>
      </c>
      <c r="G30" s="166"/>
    </row>
    <row r="32" spans="1:26" ht="14.4" customHeight="1" x14ac:dyDescent="0.3"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spans="9:26" ht="14.4" customHeight="1" x14ac:dyDescent="0.3"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spans="9:26" ht="14.4" customHeight="1" x14ac:dyDescent="0.3"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</sheetData>
  <mergeCells count="15">
    <mergeCell ref="F28:G28"/>
    <mergeCell ref="F29:G29"/>
    <mergeCell ref="F30:G30"/>
    <mergeCell ref="A18:C18"/>
    <mergeCell ref="D18:F18"/>
    <mergeCell ref="A19:C19"/>
    <mergeCell ref="D19:F19"/>
    <mergeCell ref="A21:G21"/>
    <mergeCell ref="F27:G27"/>
    <mergeCell ref="A2:G3"/>
    <mergeCell ref="A4:G4"/>
    <mergeCell ref="A7:F7"/>
    <mergeCell ref="A15:E15"/>
    <mergeCell ref="A17:C17"/>
    <mergeCell ref="D17:F17"/>
  </mergeCells>
  <pageMargins left="0.7" right="0.7" top="0.75" bottom="0.75" header="0.3" footer="0.3"/>
  <pageSetup paperSize="9" scale="90" orientation="portrait" r:id="rId1"/>
  <colBreaks count="1" manualBreakCount="1"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A379-51F2-4A68-8FAD-05A876503EAF}">
  <dimension ref="A1:Z34"/>
  <sheetViews>
    <sheetView view="pageBreakPreview" topLeftCell="A10" zoomScaleNormal="100" zoomScaleSheetLayoutView="100" workbookViewId="0">
      <selection activeCell="A21" sqref="A21:G21"/>
    </sheetView>
  </sheetViews>
  <sheetFormatPr defaultRowHeight="14.4" x14ac:dyDescent="0.3"/>
  <cols>
    <col min="1" max="1" width="4.88671875" bestFit="1" customWidth="1"/>
    <col min="2" max="2" width="7.109375" bestFit="1" customWidth="1"/>
    <col min="3" max="3" width="31.6640625" bestFit="1" customWidth="1"/>
    <col min="4" max="4" width="10.33203125" bestFit="1" customWidth="1"/>
    <col min="5" max="5" width="13.88671875" customWidth="1"/>
    <col min="6" max="6" width="15.4414062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ht="15" customHeight="1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46023</v>
      </c>
    </row>
    <row r="6" spans="1:10" s="106" customFormat="1" ht="69.599999999999994" x14ac:dyDescent="0.3">
      <c r="A6" s="131" t="s">
        <v>3</v>
      </c>
      <c r="B6" s="131" t="s">
        <v>89</v>
      </c>
      <c r="C6" s="131" t="s">
        <v>0</v>
      </c>
      <c r="D6" s="131" t="s">
        <v>6</v>
      </c>
      <c r="E6" s="131" t="s">
        <v>100</v>
      </c>
      <c r="F6" s="131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31">
        <v>1</v>
      </c>
      <c r="B8" s="131"/>
      <c r="C8" s="4" t="s">
        <v>8</v>
      </c>
      <c r="D8" s="133">
        <v>0</v>
      </c>
      <c r="E8" s="133">
        <v>8</v>
      </c>
      <c r="F8" s="133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14</v>
      </c>
      <c r="E9" s="17">
        <v>12</v>
      </c>
      <c r="F9" s="17">
        <v>75000</v>
      </c>
      <c r="G9" s="18">
        <f>F9/E9*D9</f>
        <v>87500</v>
      </c>
      <c r="I9" s="130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8</v>
      </c>
      <c r="E10" s="17">
        <v>9</v>
      </c>
      <c r="F10" s="17">
        <v>26400</v>
      </c>
      <c r="G10" s="18">
        <f>F10/E10*D10</f>
        <v>23466.666666666668</v>
      </c>
    </row>
    <row r="11" spans="1:10" ht="34.950000000000003" customHeight="1" x14ac:dyDescent="0.3">
      <c r="A11" s="44">
        <v>3</v>
      </c>
      <c r="B11" s="96" t="s">
        <v>90</v>
      </c>
      <c r="C11" s="105" t="s">
        <v>95</v>
      </c>
      <c r="D11" s="103">
        <v>5</v>
      </c>
      <c r="E11" s="17">
        <v>0</v>
      </c>
      <c r="F11" s="17">
        <v>2000</v>
      </c>
      <c r="G11" s="18">
        <f>D11*F11</f>
        <v>10000</v>
      </c>
    </row>
    <row r="12" spans="1:10" ht="34.950000000000003" customHeight="1" x14ac:dyDescent="0.3">
      <c r="A12" s="94">
        <v>4</v>
      </c>
      <c r="B12" s="96" t="s">
        <v>92</v>
      </c>
      <c r="C12" s="105" t="s">
        <v>97</v>
      </c>
      <c r="D12" s="103">
        <v>8</v>
      </c>
      <c r="E12" s="17">
        <v>8</v>
      </c>
      <c r="F12" s="17">
        <v>20000</v>
      </c>
      <c r="G12" s="18">
        <f t="shared" ref="G12:G14" si="0">F12/E12*D12</f>
        <v>20000</v>
      </c>
      <c r="I12" s="130" t="s">
        <v>108</v>
      </c>
    </row>
    <row r="13" spans="1:10" s="118" customFormat="1" ht="34.950000000000003" customHeight="1" x14ac:dyDescent="0.3">
      <c r="A13" s="112">
        <v>5</v>
      </c>
      <c r="B13" s="113" t="s">
        <v>98</v>
      </c>
      <c r="C13" s="114" t="s">
        <v>103</v>
      </c>
      <c r="D13" s="115">
        <v>15</v>
      </c>
      <c r="E13" s="116">
        <v>13</v>
      </c>
      <c r="F13" s="116">
        <v>42000</v>
      </c>
      <c r="G13" s="18">
        <f t="shared" si="0"/>
        <v>48461.538461538461</v>
      </c>
      <c r="I13" s="119" t="s">
        <v>105</v>
      </c>
    </row>
    <row r="14" spans="1:10" ht="34.950000000000003" customHeight="1" x14ac:dyDescent="0.3">
      <c r="A14" s="94">
        <v>6</v>
      </c>
      <c r="B14" s="96" t="s">
        <v>99</v>
      </c>
      <c r="C14" s="105" t="s">
        <v>104</v>
      </c>
      <c r="D14" s="104">
        <v>6</v>
      </c>
      <c r="E14" s="17">
        <v>9</v>
      </c>
      <c r="F14" s="17">
        <v>26400</v>
      </c>
      <c r="G14" s="18">
        <f t="shared" si="0"/>
        <v>17600</v>
      </c>
      <c r="I14" s="130" t="s">
        <v>102</v>
      </c>
    </row>
    <row r="15" spans="1:10" ht="17.399999999999999" x14ac:dyDescent="0.35">
      <c r="A15" s="169" t="s">
        <v>4</v>
      </c>
      <c r="B15" s="170"/>
      <c r="C15" s="170"/>
      <c r="D15" s="170"/>
      <c r="E15" s="171"/>
      <c r="F15" s="132">
        <f>SUM(F9:F14)</f>
        <v>191800</v>
      </c>
      <c r="G15" s="7">
        <f>SUM(G8:G14)</f>
        <v>207028.20512820515</v>
      </c>
    </row>
    <row r="16" spans="1:10" ht="17.399999999999999" x14ac:dyDescent="0.35">
      <c r="A16" s="127"/>
      <c r="B16" s="127"/>
      <c r="C16" s="127"/>
      <c r="D16" s="127"/>
      <c r="E16" s="127"/>
      <c r="F16" s="128"/>
      <c r="G16" s="129"/>
    </row>
    <row r="17" spans="1:26" ht="14.4" customHeight="1" x14ac:dyDescent="0.3">
      <c r="A17" s="165" t="s">
        <v>118</v>
      </c>
      <c r="B17" s="165"/>
      <c r="C17" s="165"/>
      <c r="D17" s="165" t="s">
        <v>119</v>
      </c>
      <c r="E17" s="165"/>
      <c r="F17" s="165"/>
      <c r="G17" s="134" t="s">
        <v>125</v>
      </c>
    </row>
    <row r="18" spans="1:26" ht="14.4" customHeight="1" x14ac:dyDescent="0.3">
      <c r="A18" s="165" t="s">
        <v>120</v>
      </c>
      <c r="B18" s="165"/>
      <c r="C18" s="165"/>
      <c r="D18" s="165" t="s">
        <v>119</v>
      </c>
      <c r="E18" s="165"/>
      <c r="F18" s="165"/>
      <c r="G18" s="134" t="s">
        <v>125</v>
      </c>
    </row>
    <row r="19" spans="1:26" ht="14.4" customHeight="1" x14ac:dyDescent="0.3">
      <c r="A19" s="165" t="s">
        <v>121</v>
      </c>
      <c r="B19" s="165"/>
      <c r="C19" s="165"/>
      <c r="D19" s="165" t="s">
        <v>122</v>
      </c>
      <c r="E19" s="165"/>
      <c r="F19" s="165"/>
      <c r="G19" s="134" t="s">
        <v>123</v>
      </c>
      <c r="I19" s="107" t="s">
        <v>109</v>
      </c>
    </row>
    <row r="20" spans="1:26" ht="14.4" customHeight="1" x14ac:dyDescent="0.3">
      <c r="I20" s="107" t="s">
        <v>110</v>
      </c>
    </row>
    <row r="21" spans="1:26" x14ac:dyDescent="0.3">
      <c r="A21" s="167" t="s">
        <v>124</v>
      </c>
      <c r="B21" s="167"/>
      <c r="C21" s="167"/>
      <c r="D21" s="167"/>
      <c r="E21" s="167"/>
      <c r="F21" s="167"/>
      <c r="G21" s="167"/>
      <c r="I21" s="107" t="s">
        <v>111</v>
      </c>
    </row>
    <row r="22" spans="1:26" ht="17.399999999999999" x14ac:dyDescent="0.35">
      <c r="A22" s="1"/>
      <c r="B22" s="1"/>
      <c r="C22" s="1"/>
      <c r="D22" s="2"/>
      <c r="E22" s="2"/>
      <c r="F22" s="2"/>
      <c r="G22" s="3"/>
      <c r="I22" s="107" t="s">
        <v>112</v>
      </c>
    </row>
    <row r="23" spans="1:26" ht="17.399999999999999" x14ac:dyDescent="0.35">
      <c r="A23" s="1"/>
      <c r="B23" s="1"/>
      <c r="C23" s="1"/>
      <c r="D23" s="2"/>
      <c r="E23" s="2"/>
      <c r="F23" s="2"/>
      <c r="G23" s="3"/>
    </row>
    <row r="24" spans="1:26" ht="17.399999999999999" x14ac:dyDescent="0.35">
      <c r="A24" s="1"/>
      <c r="B24" s="1"/>
      <c r="C24" s="1"/>
      <c r="D24" s="2"/>
      <c r="E24" s="2"/>
      <c r="F24" s="2"/>
      <c r="G24" s="3"/>
    </row>
    <row r="25" spans="1:26" ht="17.399999999999999" x14ac:dyDescent="0.35">
      <c r="A25" s="1"/>
      <c r="B25" s="1"/>
      <c r="C25" s="1"/>
      <c r="D25" s="2"/>
      <c r="E25" s="2"/>
      <c r="F25" s="2"/>
      <c r="G25" s="3"/>
      <c r="I25" s="107" t="s">
        <v>113</v>
      </c>
    </row>
    <row r="26" spans="1:26" ht="17.399999999999999" x14ac:dyDescent="0.35">
      <c r="A26" s="1"/>
      <c r="B26" s="1"/>
      <c r="C26" s="1"/>
      <c r="D26" s="2"/>
      <c r="E26" s="2"/>
      <c r="F26" s="2"/>
      <c r="G26" s="3"/>
    </row>
    <row r="27" spans="1:26" ht="17.25" customHeight="1" x14ac:dyDescent="0.35">
      <c r="A27" s="1"/>
      <c r="B27" s="1"/>
      <c r="C27" s="10"/>
      <c r="D27" s="2"/>
      <c r="E27" s="2"/>
      <c r="F27" s="168" t="s">
        <v>61</v>
      </c>
      <c r="G27" s="168"/>
    </row>
    <row r="28" spans="1:26" x14ac:dyDescent="0.3">
      <c r="F28" s="166" t="s">
        <v>86</v>
      </c>
      <c r="G28" s="166"/>
    </row>
    <row r="29" spans="1:26" x14ac:dyDescent="0.3">
      <c r="F29" s="166" t="s">
        <v>84</v>
      </c>
      <c r="G29" s="166"/>
    </row>
    <row r="30" spans="1:26" x14ac:dyDescent="0.3">
      <c r="F30" s="166" t="s">
        <v>85</v>
      </c>
      <c r="G30" s="166"/>
    </row>
    <row r="32" spans="1:26" ht="14.4" customHeight="1" x14ac:dyDescent="0.3"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spans="9:26" ht="14.4" customHeight="1" x14ac:dyDescent="0.3"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spans="9:26" ht="14.4" customHeight="1" x14ac:dyDescent="0.3"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</sheetData>
  <mergeCells count="15">
    <mergeCell ref="F28:G28"/>
    <mergeCell ref="F29:G29"/>
    <mergeCell ref="F30:G30"/>
    <mergeCell ref="A2:G3"/>
    <mergeCell ref="A4:G4"/>
    <mergeCell ref="A7:F7"/>
    <mergeCell ref="A15:E15"/>
    <mergeCell ref="F27:G27"/>
    <mergeCell ref="A17:C17"/>
    <mergeCell ref="A18:C18"/>
    <mergeCell ref="A19:C19"/>
    <mergeCell ref="D17:F17"/>
    <mergeCell ref="D18:F18"/>
    <mergeCell ref="D19:F19"/>
    <mergeCell ref="A21:G21"/>
  </mergeCells>
  <pageMargins left="0.7" right="0.7" top="0.75" bottom="0.75" header="0.3" footer="0.3"/>
  <pageSetup paperSize="9" scale="90" orientation="portrait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17AE-7BC4-4D0A-A8E1-0BCEEDD88030}">
  <dimension ref="A1:J28"/>
  <sheetViews>
    <sheetView view="pageBreakPreview" topLeftCell="A10" zoomScaleNormal="100" zoomScaleSheetLayoutView="100" workbookViewId="0">
      <selection activeCell="I11" sqref="I11"/>
    </sheetView>
  </sheetViews>
  <sheetFormatPr defaultRowHeight="14.4" x14ac:dyDescent="0.3"/>
  <cols>
    <col min="1" max="1" width="7.109375" bestFit="1" customWidth="1"/>
    <col min="2" max="2" width="7.6640625" bestFit="1" customWidth="1"/>
    <col min="3" max="3" width="31.6640625" bestFit="1" customWidth="1"/>
    <col min="4" max="4" width="10.33203125" bestFit="1" customWidth="1"/>
    <col min="5" max="5" width="13.88671875" customWidth="1"/>
    <col min="6" max="6" width="11.10937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ht="15" customHeight="1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46023</v>
      </c>
    </row>
    <row r="6" spans="1:10" s="106" customFormat="1" ht="69.599999999999994" x14ac:dyDescent="0.3">
      <c r="A6" s="123" t="s">
        <v>3</v>
      </c>
      <c r="B6" s="123" t="s">
        <v>89</v>
      </c>
      <c r="C6" s="123" t="s">
        <v>0</v>
      </c>
      <c r="D6" s="123" t="s">
        <v>6</v>
      </c>
      <c r="E6" s="123" t="s">
        <v>100</v>
      </c>
      <c r="F6" s="123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23">
        <v>1</v>
      </c>
      <c r="B8" s="123"/>
      <c r="C8" s="4" t="s">
        <v>8</v>
      </c>
      <c r="D8" s="125">
        <v>0</v>
      </c>
      <c r="E8" s="125">
        <v>8</v>
      </c>
      <c r="F8" s="125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15</v>
      </c>
      <c r="E9" s="17">
        <v>15</v>
      </c>
      <c r="F9" s="17">
        <v>75000</v>
      </c>
      <c r="G9" s="18">
        <f>F9/E9*D9</f>
        <v>75000</v>
      </c>
      <c r="I9" s="108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8</v>
      </c>
      <c r="E10" s="17">
        <v>9</v>
      </c>
      <c r="F10" s="17">
        <v>26400</v>
      </c>
      <c r="G10" s="18">
        <f>F10/E10*D10</f>
        <v>23466.666666666668</v>
      </c>
    </row>
    <row r="11" spans="1:10" ht="34.950000000000003" customHeight="1" x14ac:dyDescent="0.3">
      <c r="A11" s="44">
        <v>3</v>
      </c>
      <c r="B11" s="96" t="s">
        <v>90</v>
      </c>
      <c r="C11" s="105" t="s">
        <v>95</v>
      </c>
      <c r="D11" s="103">
        <v>4</v>
      </c>
      <c r="E11" s="17">
        <v>0</v>
      </c>
      <c r="F11" s="17">
        <v>2000</v>
      </c>
      <c r="G11" s="18">
        <f>D11*F11</f>
        <v>8000</v>
      </c>
    </row>
    <row r="12" spans="1:10" ht="34.950000000000003" customHeight="1" x14ac:dyDescent="0.3">
      <c r="A12" s="94">
        <v>4</v>
      </c>
      <c r="B12" s="96" t="s">
        <v>92</v>
      </c>
      <c r="C12" s="105" t="s">
        <v>97</v>
      </c>
      <c r="D12" s="103">
        <v>10</v>
      </c>
      <c r="E12" s="17">
        <v>10</v>
      </c>
      <c r="F12" s="17">
        <v>20000</v>
      </c>
      <c r="G12" s="18">
        <f t="shared" ref="G12:G14" si="0">F12/E12*D12</f>
        <v>20000</v>
      </c>
      <c r="I12" s="108" t="s">
        <v>108</v>
      </c>
    </row>
    <row r="13" spans="1:10" s="118" customFormat="1" ht="34.950000000000003" customHeight="1" x14ac:dyDescent="0.3">
      <c r="A13" s="112">
        <v>5</v>
      </c>
      <c r="B13" s="113" t="s">
        <v>98</v>
      </c>
      <c r="C13" s="114" t="s">
        <v>103</v>
      </c>
      <c r="D13" s="115">
        <v>14</v>
      </c>
      <c r="E13" s="116">
        <v>14</v>
      </c>
      <c r="F13" s="116">
        <v>42000</v>
      </c>
      <c r="G13" s="18">
        <f t="shared" si="0"/>
        <v>42000</v>
      </c>
      <c r="I13" s="119" t="s">
        <v>105</v>
      </c>
    </row>
    <row r="14" spans="1:10" ht="34.950000000000003" customHeight="1" x14ac:dyDescent="0.3">
      <c r="A14" s="94">
        <v>6</v>
      </c>
      <c r="B14" s="96" t="s">
        <v>99</v>
      </c>
      <c r="C14" s="105" t="s">
        <v>104</v>
      </c>
      <c r="D14" s="104">
        <v>7</v>
      </c>
      <c r="E14" s="17">
        <v>9</v>
      </c>
      <c r="F14" s="17">
        <v>26400</v>
      </c>
      <c r="G14" s="18">
        <f t="shared" si="0"/>
        <v>20533.333333333336</v>
      </c>
      <c r="I14" s="108" t="s">
        <v>102</v>
      </c>
    </row>
    <row r="15" spans="1:10" ht="17.399999999999999" x14ac:dyDescent="0.35">
      <c r="A15" s="169" t="s">
        <v>4</v>
      </c>
      <c r="B15" s="170"/>
      <c r="C15" s="170"/>
      <c r="D15" s="170"/>
      <c r="E15" s="171"/>
      <c r="F15" s="124">
        <f>SUM(F9:F14)</f>
        <v>191800</v>
      </c>
      <c r="G15" s="7">
        <f>SUM(G8:G14)</f>
        <v>189000.00000000003</v>
      </c>
    </row>
    <row r="16" spans="1:10" ht="17.399999999999999" x14ac:dyDescent="0.35">
      <c r="A16" s="127"/>
      <c r="B16" s="127"/>
      <c r="C16" s="127"/>
      <c r="D16" s="127"/>
      <c r="E16" s="127"/>
      <c r="F16" s="128"/>
      <c r="G16" s="129"/>
    </row>
    <row r="17" spans="1:9" ht="34.200000000000003" customHeight="1" x14ac:dyDescent="0.3">
      <c r="A17" s="172" t="s">
        <v>115</v>
      </c>
      <c r="B17" s="172"/>
      <c r="C17" s="172"/>
      <c r="D17" s="172"/>
      <c r="E17" s="172"/>
      <c r="F17" s="172"/>
      <c r="G17" s="172"/>
    </row>
    <row r="18" spans="1:9" ht="17.399999999999999" x14ac:dyDescent="0.35">
      <c r="A18" s="1" t="s">
        <v>114</v>
      </c>
      <c r="B18" s="1" t="s">
        <v>116</v>
      </c>
      <c r="C18" s="1"/>
      <c r="D18" s="2"/>
      <c r="E18" s="2"/>
      <c r="F18" s="2"/>
      <c r="G18" s="3"/>
    </row>
    <row r="19" spans="1:9" ht="17.399999999999999" x14ac:dyDescent="0.35">
      <c r="A19" s="1"/>
      <c r="B19" s="126" t="s">
        <v>117</v>
      </c>
      <c r="C19" s="1"/>
      <c r="D19" s="2"/>
      <c r="E19" s="2"/>
      <c r="F19" s="2"/>
      <c r="G19" s="3"/>
      <c r="I19" s="107" t="s">
        <v>109</v>
      </c>
    </row>
    <row r="20" spans="1:9" x14ac:dyDescent="0.3">
      <c r="I20" s="107" t="s">
        <v>110</v>
      </c>
    </row>
    <row r="21" spans="1:9" x14ac:dyDescent="0.3">
      <c r="I21" s="107" t="s">
        <v>111</v>
      </c>
    </row>
    <row r="22" spans="1:9" ht="17.399999999999999" x14ac:dyDescent="0.35">
      <c r="A22" s="1"/>
      <c r="B22" s="1"/>
      <c r="C22" s="1"/>
      <c r="D22" s="2"/>
      <c r="E22" s="2"/>
      <c r="F22" s="2"/>
      <c r="G22" s="3"/>
      <c r="I22" s="107" t="s">
        <v>112</v>
      </c>
    </row>
    <row r="23" spans="1:9" ht="17.399999999999999" x14ac:dyDescent="0.35">
      <c r="A23" s="1"/>
      <c r="B23" s="1"/>
      <c r="C23" s="1"/>
      <c r="D23" s="2"/>
      <c r="E23" s="2"/>
      <c r="F23" s="2"/>
      <c r="G23" s="3"/>
      <c r="I23" s="107" t="s">
        <v>113</v>
      </c>
    </row>
    <row r="24" spans="1:9" ht="17.399999999999999" x14ac:dyDescent="0.35">
      <c r="A24" s="1"/>
      <c r="B24" s="1"/>
      <c r="C24" s="1"/>
      <c r="D24" s="2"/>
      <c r="E24" s="2"/>
      <c r="F24" s="2"/>
      <c r="G24" s="3"/>
    </row>
    <row r="25" spans="1:9" ht="17.25" customHeight="1" x14ac:dyDescent="0.35">
      <c r="A25" s="1"/>
      <c r="B25" s="1"/>
      <c r="C25" s="10"/>
      <c r="D25" s="2"/>
      <c r="E25" s="2"/>
      <c r="F25" s="168" t="s">
        <v>61</v>
      </c>
      <c r="G25" s="168"/>
    </row>
    <row r="26" spans="1:9" x14ac:dyDescent="0.3">
      <c r="F26" s="166" t="s">
        <v>86</v>
      </c>
      <c r="G26" s="166"/>
    </row>
    <row r="27" spans="1:9" x14ac:dyDescent="0.3">
      <c r="F27" s="166" t="s">
        <v>84</v>
      </c>
      <c r="G27" s="166"/>
    </row>
    <row r="28" spans="1:9" x14ac:dyDescent="0.3">
      <c r="F28" s="166" t="s">
        <v>85</v>
      </c>
      <c r="G28" s="166"/>
    </row>
  </sheetData>
  <mergeCells count="9">
    <mergeCell ref="F26:G26"/>
    <mergeCell ref="F27:G27"/>
    <mergeCell ref="F28:G28"/>
    <mergeCell ref="A17:G17"/>
    <mergeCell ref="A2:G3"/>
    <mergeCell ref="A4:G4"/>
    <mergeCell ref="A7:F7"/>
    <mergeCell ref="A15:E15"/>
    <mergeCell ref="F25:G25"/>
  </mergeCells>
  <pageMargins left="0.7" right="0.7" top="0.75" bottom="0.75" header="0.3" footer="0.3"/>
  <pageSetup paperSize="9" scale="91" orientation="portrait" r:id="rId1"/>
  <colBreaks count="1" manualBreakCount="1">
    <brk id="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C46-95EC-43B5-A356-E7D395664C13}">
  <dimension ref="A1:J26"/>
  <sheetViews>
    <sheetView view="pageBreakPreview" topLeftCell="A4" zoomScaleNormal="100" zoomScaleSheetLayoutView="100" workbookViewId="0">
      <selection activeCell="D11" sqref="D11"/>
    </sheetView>
  </sheetViews>
  <sheetFormatPr defaultRowHeight="14.4" x14ac:dyDescent="0.3"/>
  <cols>
    <col min="1" max="1" width="4.88671875" bestFit="1" customWidth="1"/>
    <col min="2" max="2" width="7.6640625" bestFit="1" customWidth="1"/>
    <col min="3" max="3" width="31.6640625" bestFit="1" customWidth="1"/>
    <col min="4" max="4" width="10.33203125" bestFit="1" customWidth="1"/>
    <col min="5" max="5" width="13.88671875" customWidth="1"/>
    <col min="6" max="6" width="11.10937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ht="15" customHeight="1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45993</v>
      </c>
    </row>
    <row r="6" spans="1:10" s="106" customFormat="1" ht="69.599999999999994" x14ac:dyDescent="0.3">
      <c r="A6" s="120" t="s">
        <v>3</v>
      </c>
      <c r="B6" s="120" t="s">
        <v>89</v>
      </c>
      <c r="C6" s="120" t="s">
        <v>0</v>
      </c>
      <c r="D6" s="120" t="s">
        <v>6</v>
      </c>
      <c r="E6" s="120" t="s">
        <v>100</v>
      </c>
      <c r="F6" s="120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20">
        <v>1</v>
      </c>
      <c r="B8" s="120"/>
      <c r="C8" s="4" t="s">
        <v>8</v>
      </c>
      <c r="D8" s="122">
        <v>0</v>
      </c>
      <c r="E8" s="122">
        <v>8</v>
      </c>
      <c r="F8" s="122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12</v>
      </c>
      <c r="E9" s="17">
        <v>8</v>
      </c>
      <c r="F9" s="17">
        <v>75000</v>
      </c>
      <c r="G9" s="18">
        <f>F9/D9*E9</f>
        <v>50000</v>
      </c>
      <c r="I9" s="108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12</v>
      </c>
      <c r="E10" s="17">
        <v>9</v>
      </c>
      <c r="F10" s="17">
        <v>26400</v>
      </c>
      <c r="G10" s="18">
        <f>F10/D10*E10</f>
        <v>19800</v>
      </c>
    </row>
    <row r="11" spans="1:10" ht="34.950000000000003" customHeight="1" x14ac:dyDescent="0.3">
      <c r="A11" s="44">
        <v>3</v>
      </c>
      <c r="B11" s="96" t="s">
        <v>90</v>
      </c>
      <c r="C11" s="105" t="s">
        <v>95</v>
      </c>
      <c r="D11" s="103">
        <v>8</v>
      </c>
      <c r="E11" s="17">
        <v>1</v>
      </c>
      <c r="F11" s="17">
        <v>20000</v>
      </c>
      <c r="G11" s="18">
        <f t="shared" ref="G11:G15" si="0">F11/D11*E11</f>
        <v>2500</v>
      </c>
    </row>
    <row r="12" spans="1:10" ht="34.950000000000003" customHeight="1" x14ac:dyDescent="0.3">
      <c r="A12" s="44">
        <v>3</v>
      </c>
      <c r="B12" s="96" t="s">
        <v>90</v>
      </c>
      <c r="C12" s="105" t="s">
        <v>95</v>
      </c>
      <c r="D12" s="103">
        <v>1</v>
      </c>
      <c r="E12" s="17">
        <v>1</v>
      </c>
      <c r="F12" s="17">
        <v>2000</v>
      </c>
      <c r="G12" s="18">
        <f t="shared" si="0"/>
        <v>2000</v>
      </c>
    </row>
    <row r="13" spans="1:10" ht="34.950000000000003" customHeight="1" x14ac:dyDescent="0.3">
      <c r="A13" s="94">
        <v>4</v>
      </c>
      <c r="B13" s="96" t="s">
        <v>92</v>
      </c>
      <c r="C13" s="105" t="s">
        <v>97</v>
      </c>
      <c r="D13" s="103">
        <v>10</v>
      </c>
      <c r="E13" s="17">
        <v>5</v>
      </c>
      <c r="F13" s="17">
        <v>20000</v>
      </c>
      <c r="G13" s="18">
        <f t="shared" si="0"/>
        <v>10000</v>
      </c>
      <c r="I13" s="108" t="s">
        <v>108</v>
      </c>
    </row>
    <row r="14" spans="1:10" s="118" customFormat="1" ht="34.950000000000003" customHeight="1" x14ac:dyDescent="0.3">
      <c r="A14" s="112">
        <v>5</v>
      </c>
      <c r="B14" s="113" t="s">
        <v>98</v>
      </c>
      <c r="C14" s="114" t="s">
        <v>103</v>
      </c>
      <c r="D14" s="115">
        <v>12</v>
      </c>
      <c r="E14" s="116">
        <v>10</v>
      </c>
      <c r="F14" s="116">
        <v>42000</v>
      </c>
      <c r="G14" s="117">
        <f t="shared" si="0"/>
        <v>35000</v>
      </c>
      <c r="I14" s="119" t="s">
        <v>105</v>
      </c>
    </row>
    <row r="15" spans="1:10" ht="34.950000000000003" customHeight="1" x14ac:dyDescent="0.3">
      <c r="A15" s="94">
        <v>6</v>
      </c>
      <c r="B15" s="96" t="s">
        <v>99</v>
      </c>
      <c r="C15" s="105" t="s">
        <v>104</v>
      </c>
      <c r="D15" s="104">
        <v>8</v>
      </c>
      <c r="E15" s="17">
        <v>4</v>
      </c>
      <c r="F15" s="17">
        <v>26400</v>
      </c>
      <c r="G15" s="18">
        <f t="shared" si="0"/>
        <v>13200</v>
      </c>
      <c r="I15" s="108" t="s">
        <v>102</v>
      </c>
    </row>
    <row r="16" spans="1:10" ht="17.399999999999999" x14ac:dyDescent="0.35">
      <c r="A16" s="169" t="s">
        <v>4</v>
      </c>
      <c r="B16" s="170"/>
      <c r="C16" s="170"/>
      <c r="D16" s="170"/>
      <c r="E16" s="171"/>
      <c r="F16" s="121">
        <f>SUM(F9:F15)</f>
        <v>211800</v>
      </c>
      <c r="G16" s="7">
        <f>SUM(G8:G15)</f>
        <v>132500</v>
      </c>
    </row>
    <row r="17" spans="1:9" ht="17.399999999999999" x14ac:dyDescent="0.35">
      <c r="A17" s="1"/>
      <c r="B17" s="1"/>
      <c r="C17" s="1"/>
      <c r="D17" s="2"/>
      <c r="E17" s="2"/>
      <c r="F17" s="2"/>
      <c r="G17" s="3"/>
      <c r="I17" s="107" t="s">
        <v>109</v>
      </c>
    </row>
    <row r="18" spans="1:9" x14ac:dyDescent="0.3">
      <c r="A18" s="173"/>
      <c r="B18" s="173"/>
      <c r="C18" s="174"/>
      <c r="D18" s="174"/>
      <c r="E18" s="174"/>
      <c r="F18" s="174"/>
      <c r="G18" s="174"/>
      <c r="I18" s="107" t="s">
        <v>110</v>
      </c>
    </row>
    <row r="19" spans="1:9" ht="17.399999999999999" x14ac:dyDescent="0.35">
      <c r="A19" s="1"/>
      <c r="B19" s="1"/>
      <c r="C19" s="1"/>
      <c r="D19" s="2"/>
      <c r="E19" s="2"/>
      <c r="F19" s="2"/>
      <c r="G19" s="3"/>
      <c r="I19" s="107" t="s">
        <v>111</v>
      </c>
    </row>
    <row r="20" spans="1:9" ht="17.399999999999999" x14ac:dyDescent="0.35">
      <c r="A20" s="175"/>
      <c r="B20" s="175"/>
      <c r="C20" s="175"/>
      <c r="D20" s="175"/>
      <c r="E20" s="175"/>
      <c r="F20" s="175"/>
      <c r="G20" s="3"/>
      <c r="I20" s="107" t="s">
        <v>112</v>
      </c>
    </row>
    <row r="21" spans="1:9" ht="17.399999999999999" x14ac:dyDescent="0.35">
      <c r="A21" s="1"/>
      <c r="B21" s="1"/>
      <c r="C21" s="1"/>
      <c r="D21" s="2"/>
      <c r="E21" s="2"/>
      <c r="F21" s="2"/>
      <c r="G21" s="3"/>
      <c r="I21" s="107" t="s">
        <v>113</v>
      </c>
    </row>
    <row r="22" spans="1:9" ht="17.399999999999999" x14ac:dyDescent="0.35">
      <c r="A22" s="1"/>
      <c r="B22" s="1"/>
      <c r="C22" s="1"/>
      <c r="D22" s="2"/>
      <c r="E22" s="2"/>
      <c r="F22" s="2"/>
      <c r="G22" s="3"/>
    </row>
    <row r="23" spans="1:9" ht="17.25" customHeight="1" x14ac:dyDescent="0.35">
      <c r="A23" s="1"/>
      <c r="B23" s="1"/>
      <c r="C23" s="10"/>
      <c r="D23" s="2"/>
      <c r="E23" s="2"/>
      <c r="F23" s="168" t="s">
        <v>61</v>
      </c>
      <c r="G23" s="168"/>
    </row>
    <row r="24" spans="1:9" x14ac:dyDescent="0.3">
      <c r="F24" s="166" t="s">
        <v>86</v>
      </c>
      <c r="G24" s="166"/>
    </row>
    <row r="25" spans="1:9" x14ac:dyDescent="0.3">
      <c r="F25" s="166" t="s">
        <v>84</v>
      </c>
      <c r="G25" s="166"/>
    </row>
    <row r="26" spans="1:9" x14ac:dyDescent="0.3">
      <c r="F26" s="166" t="s">
        <v>85</v>
      </c>
      <c r="G26" s="166"/>
    </row>
  </sheetData>
  <mergeCells count="10">
    <mergeCell ref="F23:G23"/>
    <mergeCell ref="F24:G24"/>
    <mergeCell ref="F25:G25"/>
    <mergeCell ref="F26:G26"/>
    <mergeCell ref="A2:G3"/>
    <mergeCell ref="A4:G4"/>
    <mergeCell ref="A7:F7"/>
    <mergeCell ref="A16:E16"/>
    <mergeCell ref="A18:G18"/>
    <mergeCell ref="A20:F20"/>
  </mergeCells>
  <pageMargins left="0.7" right="0.7" top="0.75" bottom="0.75" header="0.3" footer="0.3"/>
  <pageSetup paperSize="9" scale="94" orientation="portrait" r:id="rId1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1DE7-0EBD-4ED3-B275-149770684D5F}">
  <dimension ref="A1:J25"/>
  <sheetViews>
    <sheetView view="pageBreakPreview" zoomScaleNormal="100" zoomScaleSheetLayoutView="100" workbookViewId="0">
      <selection activeCell="E9" sqref="E9"/>
    </sheetView>
  </sheetViews>
  <sheetFormatPr defaultRowHeight="14.4" x14ac:dyDescent="0.3"/>
  <cols>
    <col min="1" max="1" width="4.88671875" bestFit="1" customWidth="1"/>
    <col min="2" max="2" width="7.6640625" bestFit="1" customWidth="1"/>
    <col min="3" max="3" width="31.6640625" bestFit="1" customWidth="1"/>
    <col min="4" max="4" width="10.33203125" bestFit="1" customWidth="1"/>
    <col min="5" max="5" width="13.88671875" customWidth="1"/>
    <col min="6" max="6" width="11.10937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ht="15" customHeight="1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45962</v>
      </c>
    </row>
    <row r="6" spans="1:10" s="106" customFormat="1" ht="69.599999999999994" x14ac:dyDescent="0.3">
      <c r="A6" s="109" t="s">
        <v>3</v>
      </c>
      <c r="B6" s="109" t="s">
        <v>89</v>
      </c>
      <c r="C6" s="109" t="s">
        <v>0</v>
      </c>
      <c r="D6" s="109" t="s">
        <v>6</v>
      </c>
      <c r="E6" s="109" t="s">
        <v>100</v>
      </c>
      <c r="F6" s="109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109">
        <v>1</v>
      </c>
      <c r="B8" s="109"/>
      <c r="C8" s="4" t="s">
        <v>8</v>
      </c>
      <c r="D8" s="111">
        <v>0</v>
      </c>
      <c r="E8" s="111">
        <v>8</v>
      </c>
      <c r="F8" s="111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15</v>
      </c>
      <c r="E9" s="17">
        <v>11</v>
      </c>
      <c r="F9" s="17">
        <v>75000</v>
      </c>
      <c r="G9" s="18">
        <f>F9/D9*E9</f>
        <v>55000</v>
      </c>
      <c r="I9" s="108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8</v>
      </c>
      <c r="E10" s="17">
        <v>6</v>
      </c>
      <c r="F10" s="17">
        <v>26400</v>
      </c>
      <c r="G10" s="18">
        <f>F10/D10*E10</f>
        <v>19800</v>
      </c>
    </row>
    <row r="11" spans="1:10" ht="34.950000000000003" customHeight="1" x14ac:dyDescent="0.3">
      <c r="A11" s="44">
        <v>3</v>
      </c>
      <c r="B11" s="96" t="s">
        <v>90</v>
      </c>
      <c r="C11" s="105" t="s">
        <v>95</v>
      </c>
      <c r="D11" s="103">
        <v>10</v>
      </c>
      <c r="E11" s="17">
        <v>3</v>
      </c>
      <c r="F11" s="17">
        <v>20000</v>
      </c>
      <c r="G11" s="18">
        <f t="shared" ref="G11:G14" si="0">F11/D11*E11</f>
        <v>6000</v>
      </c>
    </row>
    <row r="12" spans="1:10" ht="34.950000000000003" customHeight="1" x14ac:dyDescent="0.3">
      <c r="A12" s="94">
        <v>4</v>
      </c>
      <c r="B12" s="96" t="s">
        <v>92</v>
      </c>
      <c r="C12" s="105" t="s">
        <v>97</v>
      </c>
      <c r="D12" s="103">
        <v>10</v>
      </c>
      <c r="E12" s="17">
        <v>5</v>
      </c>
      <c r="F12" s="17">
        <v>20000</v>
      </c>
      <c r="G12" s="18">
        <f t="shared" si="0"/>
        <v>10000</v>
      </c>
      <c r="I12" s="108" t="s">
        <v>108</v>
      </c>
    </row>
    <row r="13" spans="1:10" s="118" customFormat="1" ht="34.950000000000003" customHeight="1" x14ac:dyDescent="0.3">
      <c r="A13" s="112">
        <v>5</v>
      </c>
      <c r="B13" s="113" t="s">
        <v>98</v>
      </c>
      <c r="C13" s="114" t="s">
        <v>103</v>
      </c>
      <c r="D13" s="115">
        <v>12</v>
      </c>
      <c r="E13" s="116">
        <v>5</v>
      </c>
      <c r="F13" s="116">
        <v>42000</v>
      </c>
      <c r="G13" s="117">
        <f t="shared" si="0"/>
        <v>17500</v>
      </c>
      <c r="I13" s="119" t="s">
        <v>105</v>
      </c>
    </row>
    <row r="14" spans="1:10" ht="34.950000000000003" customHeight="1" x14ac:dyDescent="0.3">
      <c r="A14" s="94">
        <v>6</v>
      </c>
      <c r="B14" s="96" t="s">
        <v>99</v>
      </c>
      <c r="C14" s="105" t="s">
        <v>104</v>
      </c>
      <c r="D14" s="104">
        <v>10</v>
      </c>
      <c r="E14" s="17">
        <v>4</v>
      </c>
      <c r="F14" s="17">
        <v>26400</v>
      </c>
      <c r="G14" s="18">
        <f t="shared" si="0"/>
        <v>10560</v>
      </c>
      <c r="I14" s="108" t="s">
        <v>102</v>
      </c>
    </row>
    <row r="15" spans="1:10" ht="17.399999999999999" x14ac:dyDescent="0.35">
      <c r="A15" s="169" t="s">
        <v>4</v>
      </c>
      <c r="B15" s="170"/>
      <c r="C15" s="170"/>
      <c r="D15" s="170"/>
      <c r="E15" s="171"/>
      <c r="F15" s="110">
        <f>SUM(F9:F14)</f>
        <v>209800</v>
      </c>
      <c r="G15" s="7">
        <f>SUM(G8:G14)</f>
        <v>118860</v>
      </c>
    </row>
    <row r="16" spans="1:10" ht="17.399999999999999" x14ac:dyDescent="0.35">
      <c r="A16" s="1"/>
      <c r="B16" s="1"/>
      <c r="C16" s="1"/>
      <c r="D16" s="2"/>
      <c r="E16" s="2"/>
      <c r="F16" s="2"/>
      <c r="G16" s="3"/>
      <c r="I16" s="107" t="s">
        <v>109</v>
      </c>
    </row>
    <row r="17" spans="1:9" x14ac:dyDescent="0.3">
      <c r="A17" s="173"/>
      <c r="B17" s="173"/>
      <c r="C17" s="174"/>
      <c r="D17" s="174"/>
      <c r="E17" s="174"/>
      <c r="F17" s="174"/>
      <c r="G17" s="174"/>
      <c r="I17" s="107" t="s">
        <v>110</v>
      </c>
    </row>
    <row r="18" spans="1:9" ht="17.399999999999999" x14ac:dyDescent="0.35">
      <c r="A18" s="1"/>
      <c r="B18" s="1"/>
      <c r="C18" s="1"/>
      <c r="D18" s="2"/>
      <c r="E18" s="2"/>
      <c r="F18" s="2"/>
      <c r="G18" s="3"/>
      <c r="I18" s="107" t="s">
        <v>111</v>
      </c>
    </row>
    <row r="19" spans="1:9" ht="17.399999999999999" x14ac:dyDescent="0.35">
      <c r="A19" s="175"/>
      <c r="B19" s="175"/>
      <c r="C19" s="175"/>
      <c r="D19" s="175"/>
      <c r="E19" s="175"/>
      <c r="F19" s="175"/>
      <c r="G19" s="3"/>
      <c r="I19" s="107" t="s">
        <v>112</v>
      </c>
    </row>
    <row r="20" spans="1:9" ht="17.399999999999999" x14ac:dyDescent="0.35">
      <c r="A20" s="1"/>
      <c r="B20" s="1"/>
      <c r="C20" s="1"/>
      <c r="D20" s="2"/>
      <c r="E20" s="2"/>
      <c r="F20" s="2"/>
      <c r="G20" s="3"/>
    </row>
    <row r="21" spans="1:9" ht="17.399999999999999" x14ac:dyDescent="0.35">
      <c r="A21" s="1"/>
      <c r="B21" s="1"/>
      <c r="C21" s="1"/>
      <c r="D21" s="2"/>
      <c r="E21" s="2"/>
      <c r="F21" s="2"/>
      <c r="G21" s="3"/>
    </row>
    <row r="22" spans="1:9" ht="17.25" customHeight="1" x14ac:dyDescent="0.35">
      <c r="A22" s="1"/>
      <c r="B22" s="1"/>
      <c r="C22" s="10"/>
      <c r="D22" s="2"/>
      <c r="E22" s="2"/>
      <c r="F22" s="168" t="s">
        <v>61</v>
      </c>
      <c r="G22" s="168"/>
    </row>
    <row r="23" spans="1:9" x14ac:dyDescent="0.3">
      <c r="F23" s="166" t="s">
        <v>86</v>
      </c>
      <c r="G23" s="166"/>
    </row>
    <row r="24" spans="1:9" x14ac:dyDescent="0.3">
      <c r="F24" s="166" t="s">
        <v>84</v>
      </c>
      <c r="G24" s="166"/>
    </row>
    <row r="25" spans="1:9" x14ac:dyDescent="0.3">
      <c r="F25" s="166" t="s">
        <v>85</v>
      </c>
      <c r="G25" s="166"/>
    </row>
  </sheetData>
  <mergeCells count="10">
    <mergeCell ref="F22:G22"/>
    <mergeCell ref="F23:G23"/>
    <mergeCell ref="F24:G24"/>
    <mergeCell ref="F25:G25"/>
    <mergeCell ref="A2:G3"/>
    <mergeCell ref="A4:G4"/>
    <mergeCell ref="A7:F7"/>
    <mergeCell ref="A15:E15"/>
    <mergeCell ref="A17:G17"/>
    <mergeCell ref="A19:F19"/>
  </mergeCells>
  <pageMargins left="0.7" right="0.7" top="0.75" bottom="0.75" header="0.3" footer="0.3"/>
  <pageSetup paperSize="9" scale="94" orientation="portrait" r:id="rId1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opLeftCell="B1" workbookViewId="0">
      <selection activeCell="M11" sqref="M11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/>
    <col min="6" max="6" width="16.44140625" style="3" bestFit="1" customWidth="1"/>
    <col min="7" max="16384" width="9.109375" style="1"/>
  </cols>
  <sheetData>
    <row r="1" spans="1:7" ht="17.25" customHeight="1" x14ac:dyDescent="0.35">
      <c r="A1" s="177" t="s">
        <v>56</v>
      </c>
      <c r="B1" s="177"/>
      <c r="C1" s="177"/>
      <c r="D1" s="177"/>
      <c r="E1" s="177"/>
      <c r="F1" s="177"/>
    </row>
    <row r="2" spans="1:7" x14ac:dyDescent="0.35">
      <c r="A2" s="177"/>
      <c r="B2" s="177"/>
      <c r="C2" s="177"/>
      <c r="D2" s="177"/>
      <c r="E2" s="177"/>
      <c r="F2" s="177"/>
    </row>
    <row r="3" spans="1:7" ht="37.5" customHeight="1" x14ac:dyDescent="0.35">
      <c r="A3" s="178" t="s">
        <v>80</v>
      </c>
      <c r="B3" s="178"/>
      <c r="C3" s="178"/>
      <c r="D3" s="178"/>
      <c r="E3" s="178"/>
      <c r="F3" s="178"/>
    </row>
    <row r="4" spans="1:7" x14ac:dyDescent="0.35">
      <c r="A4" s="4"/>
      <c r="B4" s="4"/>
      <c r="C4" s="5"/>
      <c r="D4" s="5"/>
      <c r="E4" s="179" t="s">
        <v>79</v>
      </c>
      <c r="F4" s="180"/>
    </row>
    <row r="5" spans="1:7" s="45" customFormat="1" ht="34.799999999999997" x14ac:dyDescent="0.35">
      <c r="A5" s="46" t="s">
        <v>3</v>
      </c>
      <c r="B5" s="46" t="s">
        <v>0</v>
      </c>
      <c r="C5" s="46" t="s">
        <v>5</v>
      </c>
      <c r="D5" s="46" t="s">
        <v>6</v>
      </c>
      <c r="E5" s="46" t="s">
        <v>1</v>
      </c>
      <c r="F5" s="13" t="s">
        <v>2</v>
      </c>
    </row>
    <row r="6" spans="1:7" s="45" customFormat="1" ht="16.5" customHeight="1" x14ac:dyDescent="0.35">
      <c r="A6" s="161" t="s">
        <v>12</v>
      </c>
      <c r="B6" s="161"/>
      <c r="C6" s="161"/>
      <c r="D6" s="161"/>
      <c r="E6" s="161"/>
      <c r="F6" s="47"/>
    </row>
    <row r="7" spans="1:7" x14ac:dyDescent="0.35">
      <c r="A7" s="43">
        <v>1</v>
      </c>
      <c r="B7" s="4" t="s">
        <v>8</v>
      </c>
      <c r="C7" s="5">
        <v>7</v>
      </c>
      <c r="D7" s="5">
        <v>8</v>
      </c>
      <c r="E7" s="5">
        <v>26400</v>
      </c>
      <c r="F7" s="6">
        <f>E7/D7*C7</f>
        <v>23100</v>
      </c>
      <c r="G7" s="1" t="s">
        <v>9</v>
      </c>
    </row>
    <row r="8" spans="1:7" x14ac:dyDescent="0.35">
      <c r="A8" s="43">
        <v>2</v>
      </c>
      <c r="B8" s="4" t="s">
        <v>21</v>
      </c>
      <c r="C8" s="5">
        <v>4</v>
      </c>
      <c r="D8" s="17">
        <v>8</v>
      </c>
      <c r="E8" s="17">
        <v>20000</v>
      </c>
      <c r="F8" s="6">
        <f>E8/D8*C8</f>
        <v>10000</v>
      </c>
    </row>
    <row r="9" spans="1:7" x14ac:dyDescent="0.35">
      <c r="A9" s="43">
        <v>3</v>
      </c>
      <c r="B9" s="4" t="s">
        <v>20</v>
      </c>
      <c r="C9" s="5">
        <v>8</v>
      </c>
      <c r="D9" s="5">
        <v>8</v>
      </c>
      <c r="E9" s="5">
        <v>26400</v>
      </c>
      <c r="F9" s="6">
        <f>E9/D9*C9</f>
        <v>26400</v>
      </c>
    </row>
    <row r="10" spans="1:7" ht="17.25" customHeight="1" x14ac:dyDescent="0.35">
      <c r="A10" s="161" t="s">
        <v>57</v>
      </c>
      <c r="B10" s="161"/>
      <c r="C10" s="161"/>
      <c r="D10" s="161"/>
      <c r="E10" s="161"/>
      <c r="F10" s="47"/>
    </row>
    <row r="11" spans="1:7" s="45" customFormat="1" ht="17.25" customHeight="1" x14ac:dyDescent="0.35">
      <c r="A11" s="43">
        <v>1</v>
      </c>
      <c r="B11" s="4" t="s">
        <v>15</v>
      </c>
      <c r="C11" s="5">
        <v>7</v>
      </c>
      <c r="D11" s="5">
        <v>8</v>
      </c>
      <c r="E11" s="5">
        <v>20000</v>
      </c>
      <c r="F11" s="6">
        <f>E11/D11*C11</f>
        <v>17500</v>
      </c>
    </row>
    <row r="12" spans="1:7" x14ac:dyDescent="0.35">
      <c r="A12" s="181" t="s">
        <v>4</v>
      </c>
      <c r="B12" s="181"/>
      <c r="C12" s="181"/>
      <c r="D12" s="181"/>
      <c r="E12" s="181"/>
      <c r="F12" s="7">
        <f>SUM(F7:F11)</f>
        <v>77000</v>
      </c>
    </row>
    <row r="14" spans="1:7" x14ac:dyDescent="0.35">
      <c r="A14" s="173"/>
      <c r="B14" s="174"/>
      <c r="C14" s="174"/>
      <c r="D14" s="174"/>
      <c r="E14" s="174"/>
      <c r="F14" s="174"/>
    </row>
    <row r="16" spans="1:7" x14ac:dyDescent="0.35">
      <c r="A16" s="175"/>
      <c r="B16" s="175"/>
      <c r="C16" s="175"/>
      <c r="D16" s="175"/>
      <c r="E16" s="175"/>
    </row>
    <row r="19" spans="2:6" ht="69" customHeight="1" x14ac:dyDescent="0.35">
      <c r="B19" s="10"/>
      <c r="E19" s="176" t="s">
        <v>61</v>
      </c>
      <c r="F19" s="176"/>
    </row>
  </sheetData>
  <mergeCells count="9">
    <mergeCell ref="A14:F14"/>
    <mergeCell ref="A16:E16"/>
    <mergeCell ref="E19:F19"/>
    <mergeCell ref="A1:F2"/>
    <mergeCell ref="A3:F3"/>
    <mergeCell ref="E4:F4"/>
    <mergeCell ref="A6:E6"/>
    <mergeCell ref="A10:E10"/>
    <mergeCell ref="A12:E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G20"/>
  <sheetViews>
    <sheetView view="pageBreakPreview" topLeftCell="A2" zoomScaleSheetLayoutView="100" workbookViewId="0">
      <selection activeCell="A12" sqref="A12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16</v>
      </c>
      <c r="B4" s="160"/>
      <c r="C4" s="160"/>
      <c r="D4" s="160"/>
      <c r="E4" s="160"/>
      <c r="F4" s="160"/>
    </row>
    <row r="5" spans="1:7" x14ac:dyDescent="0.35">
      <c r="F5" s="19">
        <v>44592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7</v>
      </c>
      <c r="C8" s="5">
        <v>1</v>
      </c>
      <c r="D8" s="5">
        <v>12</v>
      </c>
      <c r="E8" s="5">
        <v>28000</v>
      </c>
      <c r="F8" s="6">
        <f>E8/D8*C8</f>
        <v>2333.3333333333335</v>
      </c>
      <c r="G8" s="1" t="s">
        <v>9</v>
      </c>
    </row>
    <row r="9" spans="1:7" x14ac:dyDescent="0.35">
      <c r="A9" s="12">
        <v>2</v>
      </c>
      <c r="B9" s="4" t="s">
        <v>8</v>
      </c>
      <c r="C9" s="5">
        <v>6</v>
      </c>
      <c r="D9" s="5">
        <v>8</v>
      </c>
      <c r="E9" s="5">
        <v>26400</v>
      </c>
      <c r="F9" s="6">
        <f>E9/D9*C9</f>
        <v>19800</v>
      </c>
    </row>
    <row r="10" spans="1:7" ht="17.25" customHeight="1" x14ac:dyDescent="0.35">
      <c r="A10" s="182" t="s">
        <v>13</v>
      </c>
      <c r="B10" s="183"/>
      <c r="C10" s="183"/>
      <c r="D10" s="183"/>
      <c r="E10" s="184"/>
      <c r="F10" s="9"/>
    </row>
    <row r="11" spans="1:7" s="11" customFormat="1" ht="17.25" customHeight="1" x14ac:dyDescent="0.35">
      <c r="A11" s="12">
        <v>3</v>
      </c>
      <c r="B11" s="4" t="s">
        <v>15</v>
      </c>
      <c r="C11" s="5">
        <v>6</v>
      </c>
      <c r="D11" s="5">
        <v>8</v>
      </c>
      <c r="E11" s="5">
        <v>18000</v>
      </c>
      <c r="F11" s="6">
        <f>E11/D11*C11</f>
        <v>13500</v>
      </c>
    </row>
    <row r="12" spans="1:7" s="11" customFormat="1" ht="17.25" customHeight="1" x14ac:dyDescent="0.35">
      <c r="A12" s="12">
        <v>4</v>
      </c>
      <c r="B12" s="4" t="s">
        <v>10</v>
      </c>
      <c r="C12" s="5">
        <v>4</v>
      </c>
      <c r="D12" s="5">
        <v>8</v>
      </c>
      <c r="E12" s="5">
        <v>18000</v>
      </c>
      <c r="F12" s="6">
        <f>E12/D12*C12</f>
        <v>9000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44633.333333333328</v>
      </c>
    </row>
    <row r="15" spans="1:7" x14ac:dyDescent="0.35">
      <c r="A15" s="173" t="s">
        <v>17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0:E10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20"/>
  <sheetViews>
    <sheetView view="pageBreakPreview" topLeftCell="A4" zoomScaleSheetLayoutView="100" workbookViewId="0">
      <selection activeCell="A12" sqref="A12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18</v>
      </c>
      <c r="B4" s="160"/>
      <c r="C4" s="160"/>
      <c r="D4" s="160"/>
      <c r="E4" s="160"/>
      <c r="F4" s="160"/>
    </row>
    <row r="5" spans="1:7" x14ac:dyDescent="0.35">
      <c r="F5" s="19">
        <v>44622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7</v>
      </c>
      <c r="C8" s="5">
        <v>0</v>
      </c>
      <c r="D8" s="5">
        <v>12</v>
      </c>
      <c r="E8" s="5">
        <v>28000</v>
      </c>
      <c r="F8" s="6">
        <f>E8/D8*C8</f>
        <v>0</v>
      </c>
      <c r="G8" s="1" t="s">
        <v>9</v>
      </c>
    </row>
    <row r="9" spans="1:7" x14ac:dyDescent="0.35">
      <c r="A9" s="12">
        <v>2</v>
      </c>
      <c r="B9" s="4" t="s">
        <v>8</v>
      </c>
      <c r="C9" s="5">
        <v>3</v>
      </c>
      <c r="D9" s="5">
        <v>8</v>
      </c>
      <c r="E9" s="5">
        <v>26400</v>
      </c>
      <c r="F9" s="6">
        <f>E9/D9*C9</f>
        <v>9900</v>
      </c>
    </row>
    <row r="10" spans="1:7" ht="17.25" customHeight="1" x14ac:dyDescent="0.35">
      <c r="A10" s="182" t="s">
        <v>13</v>
      </c>
      <c r="B10" s="183"/>
      <c r="C10" s="183"/>
      <c r="D10" s="183"/>
      <c r="E10" s="184"/>
      <c r="F10" s="9"/>
    </row>
    <row r="11" spans="1:7" s="11" customFormat="1" ht="17.25" customHeight="1" x14ac:dyDescent="0.35">
      <c r="A11" s="12">
        <v>3</v>
      </c>
      <c r="B11" s="4" t="s">
        <v>15</v>
      </c>
      <c r="C11" s="5">
        <v>8</v>
      </c>
      <c r="D11" s="5">
        <v>8</v>
      </c>
      <c r="E11" s="5">
        <v>18000</v>
      </c>
      <c r="F11" s="6">
        <f>E11/D11*C11</f>
        <v>18000</v>
      </c>
    </row>
    <row r="12" spans="1:7" s="11" customFormat="1" ht="17.25" customHeight="1" x14ac:dyDescent="0.35">
      <c r="A12" s="12">
        <v>4</v>
      </c>
      <c r="B12" s="4" t="s">
        <v>10</v>
      </c>
      <c r="C12" s="5">
        <v>7</v>
      </c>
      <c r="D12" s="5">
        <v>8</v>
      </c>
      <c r="E12" s="5">
        <v>18000</v>
      </c>
      <c r="F12" s="6">
        <f>E12/D12*C12</f>
        <v>15750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43650</v>
      </c>
    </row>
    <row r="15" spans="1:7" x14ac:dyDescent="0.35">
      <c r="A15" s="173" t="s">
        <v>19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0:E10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G20"/>
  <sheetViews>
    <sheetView view="pageBreakPreview" topLeftCell="A4" zoomScaleSheetLayoutView="100" workbookViewId="0">
      <selection activeCell="A4" sqref="A4:F4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26</v>
      </c>
      <c r="B4" s="160"/>
      <c r="C4" s="160"/>
      <c r="D4" s="160"/>
      <c r="E4" s="160"/>
      <c r="F4" s="160"/>
    </row>
    <row r="5" spans="1:7" x14ac:dyDescent="0.35">
      <c r="F5" s="19">
        <v>44644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5</v>
      </c>
      <c r="D8" s="5">
        <v>8</v>
      </c>
      <c r="E8" s="5">
        <v>26400</v>
      </c>
      <c r="F8" s="6">
        <f>E8/D8*C8</f>
        <v>16500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5</v>
      </c>
      <c r="D9" s="17">
        <v>8</v>
      </c>
      <c r="E9" s="17">
        <v>20000</v>
      </c>
      <c r="F9" s="18">
        <f>E9/D9*C9</f>
        <v>12500</v>
      </c>
    </row>
    <row r="10" spans="1:7" x14ac:dyDescent="0.35">
      <c r="A10" s="14">
        <v>3</v>
      </c>
      <c r="B10" s="4" t="s">
        <v>20</v>
      </c>
      <c r="C10" s="15">
        <v>6</v>
      </c>
      <c r="D10" s="5">
        <v>8</v>
      </c>
      <c r="E10" s="5">
        <v>26400</v>
      </c>
      <c r="F10" s="18">
        <f>E10/D10*C10</f>
        <v>19800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11" customFormat="1" ht="17.25" customHeight="1" x14ac:dyDescent="0.35">
      <c r="A12" s="12">
        <v>4</v>
      </c>
      <c r="B12" s="4" t="s">
        <v>15</v>
      </c>
      <c r="C12" s="5">
        <v>3</v>
      </c>
      <c r="D12" s="5">
        <v>8</v>
      </c>
      <c r="E12" s="5">
        <v>18000</v>
      </c>
      <c r="F12" s="6">
        <f>E12/D12*C12</f>
        <v>6750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55550</v>
      </c>
    </row>
    <row r="15" spans="1:7" x14ac:dyDescent="0.35">
      <c r="A15" s="173" t="s">
        <v>22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20"/>
  <sheetViews>
    <sheetView view="pageBreakPreview" zoomScaleSheetLayoutView="100" workbookViewId="0">
      <selection activeCell="A15" sqref="A15:F15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27.10937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26</v>
      </c>
      <c r="B4" s="160"/>
      <c r="C4" s="160"/>
      <c r="D4" s="160"/>
      <c r="E4" s="160"/>
      <c r="F4" s="160"/>
    </row>
    <row r="5" spans="1:7" x14ac:dyDescent="0.35">
      <c r="F5" s="19" t="s">
        <v>23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2</v>
      </c>
      <c r="D8" s="5">
        <v>8</v>
      </c>
      <c r="E8" s="5">
        <v>26400</v>
      </c>
      <c r="F8" s="6">
        <f>E8/D8*C8</f>
        <v>6600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2</v>
      </c>
      <c r="D9" s="17">
        <v>8</v>
      </c>
      <c r="E9" s="17">
        <v>20000</v>
      </c>
      <c r="F9" s="18">
        <f>E9/D9*C9</f>
        <v>5000</v>
      </c>
    </row>
    <row r="10" spans="1:7" x14ac:dyDescent="0.35">
      <c r="A10" s="14">
        <v>3</v>
      </c>
      <c r="B10" s="4" t="s">
        <v>20</v>
      </c>
      <c r="C10" s="15">
        <v>2</v>
      </c>
      <c r="D10" s="5">
        <v>8</v>
      </c>
      <c r="E10" s="5">
        <v>26400</v>
      </c>
      <c r="F10" s="18">
        <f>E10/D10*C10</f>
        <v>6600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11" customFormat="1" ht="17.25" customHeight="1" x14ac:dyDescent="0.35">
      <c r="A12" s="12">
        <v>4</v>
      </c>
      <c r="B12" s="4" t="s">
        <v>15</v>
      </c>
      <c r="C12" s="5">
        <v>2</v>
      </c>
      <c r="D12" s="5">
        <v>8</v>
      </c>
      <c r="E12" s="5">
        <v>18000</v>
      </c>
      <c r="F12" s="6">
        <f>E12/D12*C12</f>
        <v>4500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22700</v>
      </c>
    </row>
    <row r="15" spans="1:7" x14ac:dyDescent="0.35">
      <c r="A15" s="173" t="s">
        <v>24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scale="98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G20"/>
  <sheetViews>
    <sheetView view="pageBreakPreview" zoomScaleSheetLayoutView="100" workbookViewId="0">
      <selection activeCell="F12" sqref="F12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26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27</v>
      </c>
      <c r="B4" s="160"/>
      <c r="C4" s="160"/>
      <c r="D4" s="160"/>
      <c r="E4" s="160"/>
      <c r="F4" s="160"/>
    </row>
    <row r="5" spans="1:7" x14ac:dyDescent="0.35">
      <c r="F5" s="19">
        <v>44681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20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7</v>
      </c>
      <c r="D8" s="5">
        <v>8</v>
      </c>
      <c r="E8" s="5">
        <v>26400</v>
      </c>
      <c r="F8" s="6">
        <f>E8/D8*C8</f>
        <v>23100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7</v>
      </c>
      <c r="D9" s="17">
        <v>8</v>
      </c>
      <c r="E9" s="17">
        <v>20000</v>
      </c>
      <c r="F9" s="18">
        <f>E9/D9*C9</f>
        <v>17500</v>
      </c>
    </row>
    <row r="10" spans="1:7" x14ac:dyDescent="0.35">
      <c r="A10" s="14">
        <v>3</v>
      </c>
      <c r="B10" s="4" t="s">
        <v>20</v>
      </c>
      <c r="C10" s="15">
        <v>7</v>
      </c>
      <c r="D10" s="5">
        <v>8</v>
      </c>
      <c r="E10" s="5">
        <v>26400</v>
      </c>
      <c r="F10" s="18">
        <f>E10/D10*C10</f>
        <v>23100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11" customFormat="1" ht="17.25" customHeight="1" x14ac:dyDescent="0.35">
      <c r="A12" s="12">
        <v>4</v>
      </c>
      <c r="B12" s="4" t="s">
        <v>15</v>
      </c>
      <c r="C12" s="5">
        <v>8</v>
      </c>
      <c r="D12" s="5">
        <v>8</v>
      </c>
      <c r="E12" s="5">
        <v>18000</v>
      </c>
      <c r="F12" s="6">
        <f>E12/D12*C12</f>
        <v>18000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81700</v>
      </c>
    </row>
    <row r="15" spans="1:7" x14ac:dyDescent="0.35">
      <c r="A15" s="173" t="s">
        <v>25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G20"/>
  <sheetViews>
    <sheetView view="pageBreakPreview" zoomScaleSheetLayoutView="100" workbookViewId="0">
      <selection activeCell="A15" sqref="A15:F15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28</v>
      </c>
      <c r="B4" s="160"/>
      <c r="C4" s="160"/>
      <c r="D4" s="160"/>
      <c r="E4" s="160"/>
      <c r="F4" s="160"/>
    </row>
    <row r="5" spans="1:7" x14ac:dyDescent="0.35">
      <c r="F5" s="8">
        <v>44712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7</v>
      </c>
      <c r="D8" s="5">
        <v>8</v>
      </c>
      <c r="E8" s="5">
        <v>26400</v>
      </c>
      <c r="F8" s="6">
        <f>E8/D8*C8</f>
        <v>23100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7</v>
      </c>
      <c r="D9" s="17">
        <v>8</v>
      </c>
      <c r="E9" s="17">
        <v>20000</v>
      </c>
      <c r="F9" s="6">
        <f>E9/D9*C9</f>
        <v>17500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11" customFormat="1" ht="17.25" customHeight="1" x14ac:dyDescent="0.35">
      <c r="A12" s="12">
        <v>4</v>
      </c>
      <c r="B12" s="4" t="s">
        <v>15</v>
      </c>
      <c r="C12" s="5">
        <v>7</v>
      </c>
      <c r="D12" s="5">
        <v>8</v>
      </c>
      <c r="E12" s="5">
        <v>18000</v>
      </c>
      <c r="F12" s="6">
        <f>E12/D12*C12</f>
        <v>15750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82750</v>
      </c>
    </row>
    <row r="15" spans="1:7" x14ac:dyDescent="0.35">
      <c r="A15" s="173" t="s">
        <v>29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G20"/>
  <sheetViews>
    <sheetView view="pageBreakPreview" topLeftCell="A4" zoomScaleSheetLayoutView="100" workbookViewId="0">
      <selection activeCell="E19" sqref="E19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30</v>
      </c>
      <c r="B4" s="160"/>
      <c r="C4" s="160"/>
      <c r="D4" s="160"/>
      <c r="E4" s="160"/>
      <c r="F4" s="160"/>
    </row>
    <row r="5" spans="1:7" x14ac:dyDescent="0.35">
      <c r="F5" s="8">
        <v>44742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7</v>
      </c>
      <c r="D8" s="5">
        <v>8</v>
      </c>
      <c r="E8" s="5">
        <v>26400</v>
      </c>
      <c r="F8" s="6">
        <f>E8/D8*C8</f>
        <v>23100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8</v>
      </c>
      <c r="D9" s="17">
        <v>8</v>
      </c>
      <c r="E9" s="17">
        <v>20000</v>
      </c>
      <c r="F9" s="6">
        <f>E9/D9*C9</f>
        <v>20000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11" customFormat="1" ht="17.25" customHeight="1" x14ac:dyDescent="0.35">
      <c r="A12" s="12">
        <v>4</v>
      </c>
      <c r="B12" s="4" t="s">
        <v>15</v>
      </c>
      <c r="C12" s="5">
        <v>6</v>
      </c>
      <c r="D12" s="5">
        <v>8</v>
      </c>
      <c r="E12" s="5">
        <v>18000</v>
      </c>
      <c r="F12" s="6">
        <f>E12/D12*C12</f>
        <v>13500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83000</v>
      </c>
    </row>
    <row r="15" spans="1:7" x14ac:dyDescent="0.35">
      <c r="A15" s="173" t="s">
        <v>31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G20"/>
  <sheetViews>
    <sheetView view="pageBreakPreview" topLeftCell="A10" zoomScaleSheetLayoutView="100" workbookViewId="0">
      <selection activeCell="C10" sqref="C10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33</v>
      </c>
      <c r="B4" s="160"/>
      <c r="C4" s="160"/>
      <c r="D4" s="160"/>
      <c r="E4" s="160"/>
      <c r="F4" s="160"/>
    </row>
    <row r="5" spans="1:7" x14ac:dyDescent="0.35">
      <c r="F5" s="8">
        <v>44772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6</v>
      </c>
      <c r="D8" s="5">
        <v>8</v>
      </c>
      <c r="E8" s="5">
        <v>26400</v>
      </c>
      <c r="F8" s="6">
        <f>E8/D8*C8</f>
        <v>19800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8</v>
      </c>
      <c r="D9" s="17">
        <v>8</v>
      </c>
      <c r="E9" s="17">
        <v>20000</v>
      </c>
      <c r="F9" s="6">
        <f>E9/D9*C9</f>
        <v>20000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11" customFormat="1" ht="17.25" customHeight="1" x14ac:dyDescent="0.35">
      <c r="A12" s="12">
        <v>4</v>
      </c>
      <c r="B12" s="4" t="s">
        <v>15</v>
      </c>
      <c r="C12" s="5">
        <v>7</v>
      </c>
      <c r="D12" s="5">
        <v>8</v>
      </c>
      <c r="E12" s="5">
        <v>18000</v>
      </c>
      <c r="F12" s="6">
        <f>E12/D12*C12</f>
        <v>15750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81950</v>
      </c>
    </row>
    <row r="15" spans="1:7" x14ac:dyDescent="0.35">
      <c r="A15" s="173" t="s">
        <v>32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20"/>
  <sheetViews>
    <sheetView view="pageBreakPreview" topLeftCell="A4" zoomScaleSheetLayoutView="100" workbookViewId="0">
      <selection activeCell="A15" sqref="A15:F15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34</v>
      </c>
      <c r="B4" s="160"/>
      <c r="C4" s="160"/>
      <c r="D4" s="160"/>
      <c r="E4" s="160"/>
      <c r="F4" s="160"/>
    </row>
    <row r="5" spans="1:7" x14ac:dyDescent="0.35">
      <c r="F5" s="8">
        <v>44803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6</v>
      </c>
      <c r="D8" s="5">
        <v>8</v>
      </c>
      <c r="E8" s="5">
        <v>26400</v>
      </c>
      <c r="F8" s="6">
        <f>E8/D8*C8</f>
        <v>19800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4</v>
      </c>
      <c r="D9" s="17">
        <v>8</v>
      </c>
      <c r="E9" s="17">
        <v>20000</v>
      </c>
      <c r="F9" s="6">
        <f>E9/D9*C9</f>
        <v>10000</v>
      </c>
    </row>
    <row r="10" spans="1:7" x14ac:dyDescent="0.35">
      <c r="A10" s="14">
        <v>3</v>
      </c>
      <c r="B10" s="4" t="s">
        <v>20</v>
      </c>
      <c r="C10" s="15">
        <v>6</v>
      </c>
      <c r="D10" s="5">
        <v>8</v>
      </c>
      <c r="E10" s="5">
        <v>26400</v>
      </c>
      <c r="F10" s="6">
        <f>E10/D10*C10</f>
        <v>19800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11" customFormat="1" ht="17.25" customHeight="1" x14ac:dyDescent="0.35">
      <c r="A12" s="12">
        <v>4</v>
      </c>
      <c r="B12" s="4" t="s">
        <v>15</v>
      </c>
      <c r="C12" s="5">
        <v>6</v>
      </c>
      <c r="D12" s="5">
        <v>8</v>
      </c>
      <c r="E12" s="5">
        <v>18000</v>
      </c>
      <c r="F12" s="6">
        <f>E12/D12*C12</f>
        <v>13500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63100</v>
      </c>
    </row>
    <row r="15" spans="1:7" x14ac:dyDescent="0.35">
      <c r="A15" s="173" t="s">
        <v>35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G20"/>
  <sheetViews>
    <sheetView view="pageBreakPreview" topLeftCell="A4" zoomScaleSheetLayoutView="100" workbookViewId="0">
      <selection activeCell="H5" sqref="H5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37</v>
      </c>
      <c r="B4" s="160"/>
      <c r="C4" s="160"/>
      <c r="D4" s="160"/>
      <c r="E4" s="160"/>
      <c r="F4" s="160"/>
    </row>
    <row r="5" spans="1:7" x14ac:dyDescent="0.35">
      <c r="F5" s="8">
        <v>44834</v>
      </c>
    </row>
    <row r="6" spans="1:7" s="1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1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8</v>
      </c>
      <c r="D8" s="5">
        <v>8</v>
      </c>
      <c r="E8" s="5">
        <v>26400</v>
      </c>
      <c r="F8" s="6">
        <f>E8/D8*C8</f>
        <v>26400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8</v>
      </c>
      <c r="D9" s="17">
        <v>8</v>
      </c>
      <c r="E9" s="17">
        <v>20000</v>
      </c>
      <c r="F9" s="6">
        <f>E9/D9*C9</f>
        <v>20000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11" customFormat="1" ht="17.25" customHeight="1" x14ac:dyDescent="0.35">
      <c r="A12" s="12">
        <v>4</v>
      </c>
      <c r="B12" s="4" t="s">
        <v>15</v>
      </c>
      <c r="C12" s="5">
        <v>7</v>
      </c>
      <c r="D12" s="5">
        <v>8</v>
      </c>
      <c r="E12" s="5">
        <v>18000</v>
      </c>
      <c r="F12" s="6">
        <f>E12/D12*C12</f>
        <v>15750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88550</v>
      </c>
    </row>
    <row r="15" spans="1:7" x14ac:dyDescent="0.35">
      <c r="A15" s="173" t="s">
        <v>36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G20"/>
  <sheetViews>
    <sheetView view="pageBreakPreview" zoomScaleSheetLayoutView="100" workbookViewId="0">
      <selection activeCell="C9" sqref="C9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38</v>
      </c>
      <c r="B4" s="160"/>
      <c r="C4" s="160"/>
      <c r="D4" s="160"/>
      <c r="E4" s="160"/>
      <c r="F4" s="160"/>
    </row>
    <row r="5" spans="1:7" x14ac:dyDescent="0.35">
      <c r="F5" s="8">
        <v>44866</v>
      </c>
    </row>
    <row r="6" spans="1:7" s="2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8</v>
      </c>
      <c r="D8" s="5">
        <v>8</v>
      </c>
      <c r="E8" s="5">
        <v>26400</v>
      </c>
      <c r="F8" s="6">
        <f>E8/D8*C8</f>
        <v>26400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8</v>
      </c>
      <c r="D9" s="17">
        <v>8</v>
      </c>
      <c r="E9" s="17">
        <v>20000</v>
      </c>
      <c r="F9" s="6">
        <f>E9/D9*C9</f>
        <v>20000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21" customFormat="1" ht="17.25" customHeight="1" x14ac:dyDescent="0.35">
      <c r="A12" s="12">
        <v>4</v>
      </c>
      <c r="B12" s="4" t="s">
        <v>15</v>
      </c>
      <c r="C12" s="5">
        <v>6</v>
      </c>
      <c r="D12" s="5">
        <v>8</v>
      </c>
      <c r="E12" s="5">
        <v>18000</v>
      </c>
      <c r="F12" s="6">
        <f>E12/D12*C12</f>
        <v>13500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86300</v>
      </c>
    </row>
    <row r="15" spans="1:7" x14ac:dyDescent="0.35">
      <c r="A15" s="173" t="s">
        <v>39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G20"/>
  <sheetViews>
    <sheetView view="pageBreakPreview" zoomScaleSheetLayoutView="100" workbookViewId="0">
      <selection activeCell="A15" sqref="A15:F15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40</v>
      </c>
      <c r="B4" s="160"/>
      <c r="C4" s="160"/>
      <c r="D4" s="160"/>
      <c r="E4" s="160"/>
      <c r="F4" s="160"/>
    </row>
    <row r="5" spans="1:7" x14ac:dyDescent="0.35">
      <c r="F5" s="8">
        <v>44895</v>
      </c>
    </row>
    <row r="6" spans="1:7" s="22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2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8</v>
      </c>
      <c r="D8" s="5">
        <v>8</v>
      </c>
      <c r="E8" s="5">
        <v>26400</v>
      </c>
      <c r="F8" s="6">
        <f>E8/D8*C8</f>
        <v>26400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6</v>
      </c>
      <c r="D9" s="17">
        <v>8</v>
      </c>
      <c r="E9" s="17">
        <v>20000</v>
      </c>
      <c r="F9" s="6">
        <f>E9/D9*C9</f>
        <v>15000</v>
      </c>
    </row>
    <row r="10" spans="1:7" x14ac:dyDescent="0.35">
      <c r="A10" s="14">
        <v>3</v>
      </c>
      <c r="B10" s="4" t="s">
        <v>20</v>
      </c>
      <c r="C10" s="15">
        <v>5</v>
      </c>
      <c r="D10" s="5">
        <v>8</v>
      </c>
      <c r="E10" s="5">
        <v>26400</v>
      </c>
      <c r="F10" s="6">
        <f>E10/D10*C10</f>
        <v>16500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22" customFormat="1" ht="17.25" customHeight="1" x14ac:dyDescent="0.35">
      <c r="A12" s="12">
        <v>4</v>
      </c>
      <c r="B12" s="4" t="s">
        <v>15</v>
      </c>
      <c r="C12" s="5">
        <v>8</v>
      </c>
      <c r="D12" s="5">
        <v>8</v>
      </c>
      <c r="E12" s="5">
        <v>18000</v>
      </c>
      <c r="F12" s="6">
        <f>E12/D12*C12</f>
        <v>18000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75900</v>
      </c>
    </row>
    <row r="15" spans="1:7" x14ac:dyDescent="0.35">
      <c r="A15" s="173" t="s">
        <v>41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G20"/>
  <sheetViews>
    <sheetView view="pageBreakPreview" zoomScaleSheetLayoutView="100" workbookViewId="0">
      <selection activeCell="L7" sqref="L7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43</v>
      </c>
      <c r="B4" s="160"/>
      <c r="C4" s="160"/>
      <c r="D4" s="160"/>
      <c r="E4" s="160"/>
      <c r="F4" s="160"/>
    </row>
    <row r="5" spans="1:7" x14ac:dyDescent="0.35">
      <c r="F5" s="8">
        <v>44928</v>
      </c>
    </row>
    <row r="6" spans="1:7" s="23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3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7</v>
      </c>
      <c r="D8" s="5">
        <v>8</v>
      </c>
      <c r="E8" s="5">
        <v>26400</v>
      </c>
      <c r="F8" s="6">
        <f>E8/D8*C8</f>
        <v>23100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6</v>
      </c>
      <c r="D9" s="17">
        <v>8</v>
      </c>
      <c r="E9" s="17">
        <v>20000</v>
      </c>
      <c r="F9" s="6">
        <f>E9/D9*C9</f>
        <v>15000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23" customFormat="1" ht="17.25" customHeight="1" x14ac:dyDescent="0.35">
      <c r="A12" s="12">
        <v>4</v>
      </c>
      <c r="B12" s="4" t="s">
        <v>15</v>
      </c>
      <c r="C12" s="5">
        <v>6</v>
      </c>
      <c r="D12" s="5">
        <v>8</v>
      </c>
      <c r="E12" s="5">
        <v>18000</v>
      </c>
      <c r="F12" s="6">
        <f>E12/D12*C12</f>
        <v>13500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78000</v>
      </c>
    </row>
    <row r="15" spans="1:7" x14ac:dyDescent="0.35">
      <c r="A15" s="173" t="s">
        <v>42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G20"/>
  <sheetViews>
    <sheetView view="pageBreakPreview" zoomScaleSheetLayoutView="100" workbookViewId="0">
      <selection activeCell="A15" sqref="A15:F15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44</v>
      </c>
      <c r="B4" s="160"/>
      <c r="C4" s="160"/>
      <c r="D4" s="160"/>
      <c r="E4" s="160"/>
      <c r="F4" s="160"/>
    </row>
    <row r="5" spans="1:7" x14ac:dyDescent="0.35">
      <c r="F5" s="8">
        <v>44928</v>
      </c>
    </row>
    <row r="6" spans="1:7" s="24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4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6</v>
      </c>
      <c r="D8" s="5">
        <v>8</v>
      </c>
      <c r="E8" s="5">
        <v>26400</v>
      </c>
      <c r="F8" s="6">
        <f>E8/D8*C8</f>
        <v>19800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8</v>
      </c>
      <c r="D9" s="17">
        <v>8</v>
      </c>
      <c r="E9" s="17">
        <v>20000</v>
      </c>
      <c r="F9" s="6">
        <f>E9/D9*C9</f>
        <v>20000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24" customFormat="1" ht="17.25" customHeight="1" x14ac:dyDescent="0.35">
      <c r="A12" s="12">
        <v>4</v>
      </c>
      <c r="B12" s="4" t="s">
        <v>15</v>
      </c>
      <c r="C12" s="5">
        <v>7</v>
      </c>
      <c r="D12" s="5">
        <v>8</v>
      </c>
      <c r="E12" s="5">
        <v>18000</v>
      </c>
      <c r="F12" s="6">
        <f>E12/D12*C12</f>
        <v>15750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81950</v>
      </c>
    </row>
    <row r="15" spans="1:7" x14ac:dyDescent="0.35">
      <c r="A15" s="173" t="s">
        <v>45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G20"/>
  <sheetViews>
    <sheetView view="pageBreakPreview" zoomScaleSheetLayoutView="100" workbookViewId="0">
      <selection activeCell="J14" sqref="J14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48</v>
      </c>
      <c r="B4" s="160"/>
      <c r="C4" s="160"/>
      <c r="D4" s="160"/>
      <c r="E4" s="160"/>
      <c r="F4" s="160"/>
    </row>
    <row r="5" spans="1:7" x14ac:dyDescent="0.35">
      <c r="F5" s="8" t="s">
        <v>46</v>
      </c>
    </row>
    <row r="6" spans="1:7" s="25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5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5</v>
      </c>
      <c r="D8" s="5">
        <v>8</v>
      </c>
      <c r="E8" s="5">
        <v>26400</v>
      </c>
      <c r="F8" s="6">
        <f>E8/D8*C8</f>
        <v>16500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6</v>
      </c>
      <c r="D9" s="17">
        <v>8</v>
      </c>
      <c r="E9" s="17">
        <v>20000</v>
      </c>
      <c r="F9" s="6">
        <f>E9/D9*C9</f>
        <v>15000</v>
      </c>
    </row>
    <row r="10" spans="1:7" x14ac:dyDescent="0.35">
      <c r="A10" s="14">
        <v>3</v>
      </c>
      <c r="B10" s="4" t="s">
        <v>20</v>
      </c>
      <c r="C10" s="15">
        <v>7</v>
      </c>
      <c r="D10" s="5">
        <v>8</v>
      </c>
      <c r="E10" s="5">
        <v>26400</v>
      </c>
      <c r="F10" s="6">
        <f>E10/D10*C10</f>
        <v>23100</v>
      </c>
    </row>
    <row r="11" spans="1:7" ht="17.25" customHeight="1" x14ac:dyDescent="0.35">
      <c r="A11" s="182" t="s">
        <v>13</v>
      </c>
      <c r="B11" s="183"/>
      <c r="C11" s="183"/>
      <c r="D11" s="183"/>
      <c r="E11" s="184"/>
      <c r="F11" s="9"/>
    </row>
    <row r="12" spans="1:7" s="25" customFormat="1" ht="17.25" customHeight="1" x14ac:dyDescent="0.35">
      <c r="A12" s="12">
        <v>4</v>
      </c>
      <c r="B12" s="4" t="s">
        <v>15</v>
      </c>
      <c r="C12" s="5">
        <v>5</v>
      </c>
      <c r="D12" s="5">
        <v>8</v>
      </c>
      <c r="E12" s="5">
        <v>18000</v>
      </c>
      <c r="F12" s="6">
        <f>E12/D12*C12</f>
        <v>11250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65850</v>
      </c>
    </row>
    <row r="15" spans="1:7" x14ac:dyDescent="0.35">
      <c r="A15" s="173" t="s">
        <v>47</v>
      </c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11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G21"/>
  <sheetViews>
    <sheetView view="pageBreakPreview" zoomScaleSheetLayoutView="100" workbookViewId="0">
      <selection activeCell="F10" sqref="F10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51</v>
      </c>
      <c r="B4" s="160"/>
      <c r="C4" s="160"/>
      <c r="D4" s="160"/>
      <c r="E4" s="160"/>
      <c r="F4" s="160"/>
    </row>
    <row r="5" spans="1:7" x14ac:dyDescent="0.35">
      <c r="F5" s="8" t="s">
        <v>50</v>
      </c>
    </row>
    <row r="6" spans="1:7" s="25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5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6</v>
      </c>
      <c r="D8" s="5">
        <v>8</v>
      </c>
      <c r="E8" s="5">
        <v>26400</v>
      </c>
      <c r="F8" s="6">
        <f>E8/D8*C8</f>
        <v>19800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5</v>
      </c>
      <c r="D9" s="17">
        <v>8</v>
      </c>
      <c r="E9" s="17">
        <v>20000</v>
      </c>
      <c r="F9" s="6">
        <f>E9/D9*C9</f>
        <v>12500</v>
      </c>
    </row>
    <row r="10" spans="1:7" x14ac:dyDescent="0.35">
      <c r="A10" s="14">
        <v>3</v>
      </c>
      <c r="B10" s="4" t="s">
        <v>20</v>
      </c>
      <c r="C10" s="15">
        <v>6</v>
      </c>
      <c r="D10" s="5">
        <v>8</v>
      </c>
      <c r="E10" s="5">
        <v>26400</v>
      </c>
      <c r="F10" s="6">
        <f>E10/D10*C10</f>
        <v>19800</v>
      </c>
    </row>
    <row r="11" spans="1:7" x14ac:dyDescent="0.35">
      <c r="A11" s="12">
        <v>4</v>
      </c>
      <c r="B11" s="27" t="s">
        <v>49</v>
      </c>
      <c r="C11" s="15">
        <v>6</v>
      </c>
      <c r="D11" s="5">
        <v>12</v>
      </c>
      <c r="E11" s="5">
        <v>25000</v>
      </c>
      <c r="F11" s="6">
        <f>E11/D11*C11</f>
        <v>12500</v>
      </c>
    </row>
    <row r="12" spans="1:7" ht="17.25" customHeight="1" x14ac:dyDescent="0.35">
      <c r="A12" s="182" t="s">
        <v>13</v>
      </c>
      <c r="B12" s="183"/>
      <c r="C12" s="183"/>
      <c r="D12" s="183"/>
      <c r="E12" s="184"/>
      <c r="F12" s="9"/>
    </row>
    <row r="13" spans="1:7" s="25" customFormat="1" ht="17.25" customHeight="1" x14ac:dyDescent="0.35">
      <c r="A13" s="12">
        <v>4</v>
      </c>
      <c r="B13" s="4" t="s">
        <v>15</v>
      </c>
      <c r="C13" s="5">
        <v>7</v>
      </c>
      <c r="D13" s="5">
        <v>8</v>
      </c>
      <c r="E13" s="5">
        <v>18000</v>
      </c>
      <c r="F13" s="6">
        <f>E13/D13*C13</f>
        <v>15750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80350</v>
      </c>
    </row>
    <row r="16" spans="1:7" x14ac:dyDescent="0.35">
      <c r="A16" s="173" t="s">
        <v>52</v>
      </c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11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G21"/>
  <sheetViews>
    <sheetView view="pageBreakPreview" topLeftCell="A5" zoomScaleSheetLayoutView="100" workbookViewId="0">
      <selection activeCell="D13" sqref="D13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53</v>
      </c>
      <c r="B4" s="160"/>
      <c r="C4" s="160"/>
      <c r="D4" s="160"/>
      <c r="E4" s="160"/>
      <c r="F4" s="160"/>
    </row>
    <row r="5" spans="1:7" x14ac:dyDescent="0.35">
      <c r="F5" s="8">
        <v>44931</v>
      </c>
    </row>
    <row r="6" spans="1:7" s="26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6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2</v>
      </c>
      <c r="D8" s="5">
        <v>8</v>
      </c>
      <c r="E8" s="5">
        <v>26400</v>
      </c>
      <c r="F8" s="6">
        <f>E8/D8*C8</f>
        <v>6600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1</v>
      </c>
      <c r="D9" s="17">
        <v>8</v>
      </c>
      <c r="E9" s="17">
        <v>20000</v>
      </c>
      <c r="F9" s="6">
        <f>E9/D9*C9</f>
        <v>2500</v>
      </c>
    </row>
    <row r="10" spans="1:7" x14ac:dyDescent="0.35">
      <c r="A10" s="14">
        <v>3</v>
      </c>
      <c r="B10" s="4" t="s">
        <v>20</v>
      </c>
      <c r="C10" s="15">
        <v>1</v>
      </c>
      <c r="D10" s="5">
        <v>8</v>
      </c>
      <c r="E10" s="5">
        <v>26400</v>
      </c>
      <c r="F10" s="6">
        <f>E10/D10*C10</f>
        <v>3300</v>
      </c>
    </row>
    <row r="11" spans="1:7" x14ac:dyDescent="0.35">
      <c r="A11" s="12">
        <v>4</v>
      </c>
      <c r="B11" s="27" t="s">
        <v>49</v>
      </c>
      <c r="C11" s="15">
        <v>1</v>
      </c>
      <c r="D11" s="5">
        <v>12</v>
      </c>
      <c r="E11" s="5">
        <v>25000</v>
      </c>
      <c r="F11" s="6">
        <f>E11/D11*C11</f>
        <v>2083.3333333333335</v>
      </c>
    </row>
    <row r="12" spans="1:7" ht="17.25" customHeight="1" x14ac:dyDescent="0.35">
      <c r="A12" s="182" t="s">
        <v>13</v>
      </c>
      <c r="B12" s="183"/>
      <c r="C12" s="183"/>
      <c r="D12" s="183"/>
      <c r="E12" s="184"/>
      <c r="F12" s="9"/>
    </row>
    <row r="13" spans="1:7" s="26" customFormat="1" ht="17.25" customHeight="1" x14ac:dyDescent="0.35">
      <c r="A13" s="12">
        <v>1</v>
      </c>
      <c r="B13" s="4" t="s">
        <v>15</v>
      </c>
      <c r="C13" s="5">
        <v>1</v>
      </c>
      <c r="D13" s="5">
        <v>8</v>
      </c>
      <c r="E13" s="5">
        <v>18000</v>
      </c>
      <c r="F13" s="6">
        <f>E13/D13*C13</f>
        <v>2250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16733.333333333336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11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G21"/>
  <sheetViews>
    <sheetView view="pageBreakPreview" zoomScaleSheetLayoutView="100" workbookViewId="0">
      <selection activeCell="E13" sqref="E13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54</v>
      </c>
      <c r="B4" s="160"/>
      <c r="C4" s="160"/>
      <c r="D4" s="160"/>
      <c r="E4" s="160"/>
      <c r="F4" s="160"/>
    </row>
    <row r="5" spans="1:7" x14ac:dyDescent="0.35">
      <c r="F5" s="8">
        <v>44931</v>
      </c>
    </row>
    <row r="6" spans="1:7" s="26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6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6</v>
      </c>
      <c r="D8" s="5">
        <v>8</v>
      </c>
      <c r="E8" s="5">
        <v>26400</v>
      </c>
      <c r="F8" s="6">
        <f>E8/D8*C8</f>
        <v>19800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6</v>
      </c>
      <c r="D9" s="17">
        <v>8</v>
      </c>
      <c r="E9" s="17">
        <v>20000</v>
      </c>
      <c r="F9" s="6">
        <f>E9/D9*C9</f>
        <v>15000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x14ac:dyDescent="0.35">
      <c r="A11" s="12">
        <v>4</v>
      </c>
      <c r="B11" s="27" t="s">
        <v>49</v>
      </c>
      <c r="C11" s="15">
        <v>11</v>
      </c>
      <c r="D11" s="5">
        <v>12</v>
      </c>
      <c r="E11" s="5">
        <v>25000</v>
      </c>
      <c r="F11" s="6">
        <f>E11/D11*C11</f>
        <v>22916.666666666668</v>
      </c>
    </row>
    <row r="12" spans="1:7" ht="17.25" customHeight="1" x14ac:dyDescent="0.35">
      <c r="A12" s="182" t="s">
        <v>13</v>
      </c>
      <c r="B12" s="183"/>
      <c r="C12" s="183"/>
      <c r="D12" s="183"/>
      <c r="E12" s="184"/>
      <c r="F12" s="9"/>
    </row>
    <row r="13" spans="1:7" s="26" customFormat="1" ht="17.25" customHeight="1" x14ac:dyDescent="0.35">
      <c r="A13" s="12">
        <v>1</v>
      </c>
      <c r="B13" s="4" t="s">
        <v>15</v>
      </c>
      <c r="C13" s="5">
        <v>4</v>
      </c>
      <c r="D13" s="5">
        <v>8</v>
      </c>
      <c r="E13" s="5">
        <v>18000</v>
      </c>
      <c r="F13" s="6">
        <f>E13/D13*C13</f>
        <v>9000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93116.666666666672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11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G21"/>
  <sheetViews>
    <sheetView view="pageBreakPreview" zoomScaleSheetLayoutView="100" workbookViewId="0">
      <selection activeCell="A5" sqref="A5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55</v>
      </c>
      <c r="B4" s="160"/>
      <c r="C4" s="160"/>
      <c r="D4" s="160"/>
      <c r="E4" s="160"/>
      <c r="F4" s="160"/>
    </row>
    <row r="5" spans="1:7" x14ac:dyDescent="0.35">
      <c r="F5" s="8">
        <v>44933</v>
      </c>
    </row>
    <row r="6" spans="1:7" s="28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8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7</v>
      </c>
      <c r="D8" s="5">
        <v>8</v>
      </c>
      <c r="E8" s="5">
        <v>26400</v>
      </c>
      <c r="F8" s="6">
        <f>E8/D8*C8</f>
        <v>23100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8</v>
      </c>
      <c r="D9" s="17">
        <v>8</v>
      </c>
      <c r="E9" s="17">
        <v>20000</v>
      </c>
      <c r="F9" s="6">
        <f>E9/D9*C9</f>
        <v>20000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x14ac:dyDescent="0.35">
      <c r="A11" s="12">
        <v>4</v>
      </c>
      <c r="B11" s="27" t="s">
        <v>49</v>
      </c>
      <c r="C11" s="15">
        <v>10</v>
      </c>
      <c r="D11" s="5">
        <v>12</v>
      </c>
      <c r="E11" s="5">
        <v>25000</v>
      </c>
      <c r="F11" s="6">
        <f>E11/D11*C11</f>
        <v>20833.333333333336</v>
      </c>
    </row>
    <row r="12" spans="1:7" ht="17.25" customHeight="1" x14ac:dyDescent="0.35">
      <c r="A12" s="182" t="s">
        <v>13</v>
      </c>
      <c r="B12" s="183"/>
      <c r="C12" s="183"/>
      <c r="D12" s="183"/>
      <c r="E12" s="184"/>
      <c r="F12" s="9"/>
    </row>
    <row r="13" spans="1:7" s="28" customFormat="1" ht="17.25" customHeight="1" x14ac:dyDescent="0.35">
      <c r="A13" s="12">
        <v>1</v>
      </c>
      <c r="B13" s="4" t="s">
        <v>15</v>
      </c>
      <c r="C13" s="5">
        <v>8</v>
      </c>
      <c r="D13" s="5">
        <v>8</v>
      </c>
      <c r="E13" s="5">
        <v>20000</v>
      </c>
      <c r="F13" s="6">
        <f>E13/D13*C13</f>
        <v>20000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110333.33333333334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11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G21"/>
  <sheetViews>
    <sheetView view="pageBreakPreview" zoomScaleSheetLayoutView="100" workbookViewId="0">
      <selection activeCell="H7" sqref="H7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55</v>
      </c>
      <c r="B4" s="160"/>
      <c r="C4" s="160"/>
      <c r="D4" s="160"/>
      <c r="E4" s="160"/>
      <c r="F4" s="160"/>
    </row>
    <row r="5" spans="1:7" x14ac:dyDescent="0.35">
      <c r="F5" s="8">
        <v>44933</v>
      </c>
    </row>
    <row r="6" spans="1:7" s="29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29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4</v>
      </c>
      <c r="D8" s="5">
        <v>8</v>
      </c>
      <c r="E8" s="5">
        <v>26400</v>
      </c>
      <c r="F8" s="6">
        <f>E8/D8*C8</f>
        <v>13200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4</v>
      </c>
      <c r="D9" s="17">
        <v>8</v>
      </c>
      <c r="E9" s="17">
        <v>20000</v>
      </c>
      <c r="F9" s="6">
        <f>E9/D9*C9</f>
        <v>10000</v>
      </c>
    </row>
    <row r="10" spans="1:7" x14ac:dyDescent="0.35">
      <c r="A10" s="14">
        <v>3</v>
      </c>
      <c r="B10" s="4" t="s">
        <v>20</v>
      </c>
      <c r="C10" s="15">
        <v>6</v>
      </c>
      <c r="D10" s="5">
        <v>8</v>
      </c>
      <c r="E10" s="5">
        <v>26400</v>
      </c>
      <c r="F10" s="6">
        <f>E10/D10*C10</f>
        <v>19800</v>
      </c>
    </row>
    <row r="11" spans="1:7" x14ac:dyDescent="0.35">
      <c r="A11" s="12">
        <v>4</v>
      </c>
      <c r="B11" s="27" t="s">
        <v>49</v>
      </c>
      <c r="C11" s="15">
        <v>8</v>
      </c>
      <c r="D11" s="5">
        <v>12</v>
      </c>
      <c r="E11" s="5">
        <v>25000</v>
      </c>
      <c r="F11" s="6">
        <f>E11/D11*C11</f>
        <v>16666.666666666668</v>
      </c>
    </row>
    <row r="12" spans="1:7" ht="17.25" customHeight="1" x14ac:dyDescent="0.35">
      <c r="A12" s="182" t="s">
        <v>57</v>
      </c>
      <c r="B12" s="183"/>
      <c r="C12" s="183"/>
      <c r="D12" s="183"/>
      <c r="E12" s="184"/>
      <c r="F12" s="9"/>
    </row>
    <row r="13" spans="1:7" s="29" customFormat="1" ht="17.25" customHeight="1" x14ac:dyDescent="0.35">
      <c r="A13" s="12">
        <v>1</v>
      </c>
      <c r="B13" s="4" t="s">
        <v>15</v>
      </c>
      <c r="C13" s="5">
        <v>8</v>
      </c>
      <c r="D13" s="5">
        <v>8</v>
      </c>
      <c r="E13" s="5">
        <v>20000</v>
      </c>
      <c r="F13" s="6">
        <f>E13/D13*C13</f>
        <v>20000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79666.666666666672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11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G21"/>
  <sheetViews>
    <sheetView view="pageBreakPreview" zoomScaleSheetLayoutView="100" workbookViewId="0">
      <selection activeCell="C8" sqref="C8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58</v>
      </c>
      <c r="B4" s="160"/>
      <c r="C4" s="160"/>
      <c r="D4" s="160"/>
      <c r="E4" s="160"/>
      <c r="F4" s="160"/>
    </row>
    <row r="5" spans="1:7" x14ac:dyDescent="0.35">
      <c r="F5" s="8">
        <v>45139</v>
      </c>
    </row>
    <row r="6" spans="1:7" s="30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30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7</v>
      </c>
      <c r="D8" s="5">
        <v>8</v>
      </c>
      <c r="E8" s="5">
        <v>26400</v>
      </c>
      <c r="F8" s="6">
        <f>E8/D8*C8</f>
        <v>23100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6</v>
      </c>
      <c r="D9" s="17">
        <v>8</v>
      </c>
      <c r="E9" s="17">
        <v>20000</v>
      </c>
      <c r="F9" s="6">
        <f>E9/D9*C9</f>
        <v>15000</v>
      </c>
    </row>
    <row r="10" spans="1:7" x14ac:dyDescent="0.35">
      <c r="A10" s="14">
        <v>3</v>
      </c>
      <c r="B10" s="4" t="s">
        <v>20</v>
      </c>
      <c r="C10" s="15">
        <v>6</v>
      </c>
      <c r="D10" s="5">
        <v>8</v>
      </c>
      <c r="E10" s="5">
        <v>26400</v>
      </c>
      <c r="F10" s="6">
        <f>E10/D10*C10</f>
        <v>19800</v>
      </c>
    </row>
    <row r="11" spans="1:7" x14ac:dyDescent="0.35">
      <c r="A11" s="12">
        <v>4</v>
      </c>
      <c r="B11" s="4" t="s">
        <v>49</v>
      </c>
      <c r="C11" s="5">
        <v>9</v>
      </c>
      <c r="D11" s="5">
        <v>12</v>
      </c>
      <c r="E11" s="5">
        <v>25000</v>
      </c>
      <c r="F11" s="6">
        <f>E11/D11*C11</f>
        <v>18750</v>
      </c>
    </row>
    <row r="12" spans="1:7" ht="17.25" customHeight="1" x14ac:dyDescent="0.35">
      <c r="A12" s="182" t="s">
        <v>57</v>
      </c>
      <c r="B12" s="183"/>
      <c r="C12" s="183"/>
      <c r="D12" s="183"/>
      <c r="E12" s="184"/>
      <c r="F12" s="9"/>
    </row>
    <row r="13" spans="1:7" s="30" customFormat="1" ht="17.25" customHeight="1" x14ac:dyDescent="0.35">
      <c r="A13" s="12">
        <v>1</v>
      </c>
      <c r="B13" s="4" t="s">
        <v>15</v>
      </c>
      <c r="C13" s="5">
        <v>8</v>
      </c>
      <c r="D13" s="5">
        <v>8</v>
      </c>
      <c r="E13" s="5">
        <v>20000</v>
      </c>
      <c r="F13" s="6">
        <f>E13/D13*C13</f>
        <v>20000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96650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59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G21"/>
  <sheetViews>
    <sheetView view="pageBreakPreview" zoomScaleSheetLayoutView="100" workbookViewId="0">
      <selection activeCell="D17" sqref="D17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60</v>
      </c>
      <c r="B4" s="160"/>
      <c r="C4" s="160"/>
      <c r="D4" s="160"/>
      <c r="E4" s="160"/>
      <c r="F4" s="160"/>
    </row>
    <row r="5" spans="1:7" x14ac:dyDescent="0.35">
      <c r="F5" s="8">
        <v>45170</v>
      </c>
    </row>
    <row r="6" spans="1:7" s="3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3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6</v>
      </c>
      <c r="D8" s="5">
        <v>8</v>
      </c>
      <c r="E8" s="5">
        <v>26400</v>
      </c>
      <c r="F8" s="6">
        <f>E8/D8*C8</f>
        <v>19800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5</v>
      </c>
      <c r="D9" s="17">
        <v>8</v>
      </c>
      <c r="E9" s="17">
        <v>20000</v>
      </c>
      <c r="F9" s="6">
        <f>E9/D9*C9</f>
        <v>12500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x14ac:dyDescent="0.35">
      <c r="A11" s="12">
        <v>4</v>
      </c>
      <c r="B11" s="4" t="s">
        <v>49</v>
      </c>
      <c r="C11" s="5">
        <v>9</v>
      </c>
      <c r="D11" s="5">
        <v>12</v>
      </c>
      <c r="E11" s="5">
        <v>25000</v>
      </c>
      <c r="F11" s="6">
        <f>E11/D11*C11</f>
        <v>18750</v>
      </c>
    </row>
    <row r="12" spans="1:7" ht="17.25" customHeight="1" x14ac:dyDescent="0.35">
      <c r="A12" s="182" t="s">
        <v>57</v>
      </c>
      <c r="B12" s="183"/>
      <c r="C12" s="183"/>
      <c r="D12" s="183"/>
      <c r="E12" s="184"/>
      <c r="F12" s="9"/>
    </row>
    <row r="13" spans="1:7" s="31" customFormat="1" ht="17.25" customHeight="1" x14ac:dyDescent="0.35">
      <c r="A13" s="12">
        <v>1</v>
      </c>
      <c r="B13" s="4" t="s">
        <v>15</v>
      </c>
      <c r="C13" s="5">
        <v>6</v>
      </c>
      <c r="D13" s="5">
        <v>8</v>
      </c>
      <c r="E13" s="5">
        <v>20000</v>
      </c>
      <c r="F13" s="6">
        <f>E13/D13*C13</f>
        <v>15000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92450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61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G21"/>
  <sheetViews>
    <sheetView view="pageBreakPreview" topLeftCell="A4" zoomScaleSheetLayoutView="100" workbookViewId="0">
      <selection activeCell="F8" sqref="F8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62</v>
      </c>
      <c r="B4" s="160"/>
      <c r="C4" s="160"/>
      <c r="D4" s="160"/>
      <c r="E4" s="160"/>
      <c r="F4" s="160"/>
    </row>
    <row r="5" spans="1:7" x14ac:dyDescent="0.35">
      <c r="F5" s="8">
        <v>45202</v>
      </c>
    </row>
    <row r="6" spans="1:7" s="32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32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7</v>
      </c>
      <c r="D8" s="5">
        <v>8</v>
      </c>
      <c r="E8" s="5">
        <v>26400</v>
      </c>
      <c r="F8" s="6">
        <f>E8/D8*C8</f>
        <v>23100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7</v>
      </c>
      <c r="D9" s="17">
        <v>8</v>
      </c>
      <c r="E9" s="17">
        <v>20000</v>
      </c>
      <c r="F9" s="6">
        <f>E9/D9*C9</f>
        <v>17500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x14ac:dyDescent="0.35">
      <c r="A11" s="12">
        <v>4</v>
      </c>
      <c r="B11" s="4" t="s">
        <v>49</v>
      </c>
      <c r="C11" s="5">
        <v>10</v>
      </c>
      <c r="D11" s="5">
        <v>12</v>
      </c>
      <c r="E11" s="5">
        <v>25000</v>
      </c>
      <c r="F11" s="6">
        <f>E11/D11*C11</f>
        <v>20833.333333333336</v>
      </c>
    </row>
    <row r="12" spans="1:7" ht="17.25" customHeight="1" x14ac:dyDescent="0.35">
      <c r="A12" s="182" t="s">
        <v>57</v>
      </c>
      <c r="B12" s="183"/>
      <c r="C12" s="183"/>
      <c r="D12" s="183"/>
      <c r="E12" s="184"/>
      <c r="F12" s="9"/>
    </row>
    <row r="13" spans="1:7" s="32" customFormat="1" ht="17.25" customHeight="1" x14ac:dyDescent="0.35">
      <c r="A13" s="12">
        <v>1</v>
      </c>
      <c r="B13" s="4" t="s">
        <v>15</v>
      </c>
      <c r="C13" s="5">
        <v>8</v>
      </c>
      <c r="D13" s="5">
        <v>8</v>
      </c>
      <c r="E13" s="5">
        <v>20000</v>
      </c>
      <c r="F13" s="6">
        <f>E13/D13*C13</f>
        <v>20000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107833.33333333334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61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G21"/>
  <sheetViews>
    <sheetView workbookViewId="0">
      <selection activeCell="F5" sqref="F5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14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63</v>
      </c>
      <c r="B4" s="160"/>
      <c r="C4" s="160"/>
      <c r="D4" s="160"/>
      <c r="E4" s="160"/>
      <c r="F4" s="160"/>
    </row>
    <row r="5" spans="1:7" x14ac:dyDescent="0.35">
      <c r="F5" s="19">
        <v>45026</v>
      </c>
    </row>
    <row r="6" spans="1:7" s="33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33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35" t="s">
        <v>8</v>
      </c>
      <c r="C8" s="5">
        <v>7</v>
      </c>
      <c r="D8" s="5">
        <v>8</v>
      </c>
      <c r="E8" s="5">
        <v>26400</v>
      </c>
      <c r="F8" s="6" t="s">
        <v>64</v>
      </c>
      <c r="G8" s="1" t="s">
        <v>9</v>
      </c>
    </row>
    <row r="9" spans="1:7" x14ac:dyDescent="0.35">
      <c r="A9" s="12">
        <v>2</v>
      </c>
      <c r="B9" s="36" t="s">
        <v>21</v>
      </c>
      <c r="C9" s="16">
        <v>7</v>
      </c>
      <c r="D9" s="17">
        <v>8</v>
      </c>
      <c r="E9" s="17">
        <v>20000</v>
      </c>
      <c r="F9" s="6" t="s">
        <v>65</v>
      </c>
    </row>
    <row r="10" spans="1:7" x14ac:dyDescent="0.35">
      <c r="A10" s="14">
        <v>3</v>
      </c>
      <c r="B10" s="35" t="s">
        <v>20</v>
      </c>
      <c r="C10" s="15">
        <v>8</v>
      </c>
      <c r="D10" s="5">
        <v>8</v>
      </c>
      <c r="E10" s="5">
        <v>26400</v>
      </c>
      <c r="F10" s="6" t="s">
        <v>66</v>
      </c>
    </row>
    <row r="11" spans="1:7" x14ac:dyDescent="0.35">
      <c r="A11" s="12">
        <v>4</v>
      </c>
      <c r="B11" s="35" t="s">
        <v>67</v>
      </c>
      <c r="C11" s="5">
        <v>10</v>
      </c>
      <c r="D11" s="5">
        <v>12</v>
      </c>
      <c r="E11" s="5">
        <v>25000</v>
      </c>
      <c r="F11" s="6" t="s">
        <v>68</v>
      </c>
    </row>
    <row r="12" spans="1:7" ht="17.25" customHeight="1" x14ac:dyDescent="0.35">
      <c r="A12" s="182" t="s">
        <v>13</v>
      </c>
      <c r="B12" s="183"/>
      <c r="C12" s="183"/>
      <c r="D12" s="183"/>
      <c r="E12" s="184"/>
      <c r="F12" s="9"/>
    </row>
    <row r="13" spans="1:7" s="33" customFormat="1" ht="17.25" customHeight="1" x14ac:dyDescent="0.35">
      <c r="A13" s="12">
        <v>4</v>
      </c>
      <c r="B13" s="35" t="s">
        <v>15</v>
      </c>
      <c r="C13" s="5">
        <v>8</v>
      </c>
      <c r="D13" s="5">
        <v>8</v>
      </c>
      <c r="E13" s="5">
        <v>20000</v>
      </c>
      <c r="F13" s="6" t="s">
        <v>69</v>
      </c>
    </row>
    <row r="14" spans="1:7" x14ac:dyDescent="0.35">
      <c r="A14" s="181" t="s">
        <v>4</v>
      </c>
      <c r="B14" s="181"/>
      <c r="C14" s="181"/>
      <c r="D14" s="181"/>
      <c r="E14" s="181"/>
      <c r="F14" s="7" t="s">
        <v>70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85" t="s">
        <v>71</v>
      </c>
      <c r="F21" s="185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G21"/>
  <sheetViews>
    <sheetView view="pageBreakPreview" topLeftCell="A4" zoomScaleSheetLayoutView="100" workbookViewId="0">
      <selection activeCell="A13" sqref="A13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72</v>
      </c>
      <c r="B4" s="160"/>
      <c r="C4" s="160"/>
      <c r="D4" s="160"/>
      <c r="E4" s="160"/>
      <c r="F4" s="160"/>
    </row>
    <row r="5" spans="1:7" x14ac:dyDescent="0.35">
      <c r="F5" s="8">
        <v>45230</v>
      </c>
    </row>
    <row r="6" spans="1:7" s="34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34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5</v>
      </c>
      <c r="D8" s="5">
        <v>8</v>
      </c>
      <c r="E8" s="5">
        <v>26400</v>
      </c>
      <c r="F8" s="6">
        <f>E8/D8*C8</f>
        <v>16500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5</v>
      </c>
      <c r="D9" s="17">
        <v>8</v>
      </c>
      <c r="E9" s="17">
        <v>20000</v>
      </c>
      <c r="F9" s="6">
        <f>E9/D9*C9</f>
        <v>12500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x14ac:dyDescent="0.35">
      <c r="A11" s="12">
        <v>4</v>
      </c>
      <c r="B11" s="4" t="s">
        <v>49</v>
      </c>
      <c r="C11" s="5">
        <v>9.5</v>
      </c>
      <c r="D11" s="5">
        <v>12</v>
      </c>
      <c r="E11" s="5">
        <v>25000</v>
      </c>
      <c r="F11" s="6">
        <f>E11/D11*C11</f>
        <v>19791.666666666668</v>
      </c>
    </row>
    <row r="12" spans="1:7" ht="17.25" customHeight="1" x14ac:dyDescent="0.35">
      <c r="A12" s="182" t="s">
        <v>57</v>
      </c>
      <c r="B12" s="183"/>
      <c r="C12" s="183"/>
      <c r="D12" s="183"/>
      <c r="E12" s="184"/>
      <c r="F12" s="9"/>
    </row>
    <row r="13" spans="1:7" s="34" customFormat="1" ht="17.25" customHeight="1" x14ac:dyDescent="0.35">
      <c r="A13" s="12">
        <v>1</v>
      </c>
      <c r="B13" s="4" t="s">
        <v>15</v>
      </c>
      <c r="C13" s="5">
        <v>7</v>
      </c>
      <c r="D13" s="5">
        <v>8</v>
      </c>
      <c r="E13" s="5">
        <v>20000</v>
      </c>
      <c r="F13" s="6">
        <f>E13/D13*C13</f>
        <v>17500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SUM(F8:F13)</f>
        <v>92691.666666666672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61</v>
      </c>
      <c r="F21" s="176"/>
    </row>
  </sheetData>
  <mergeCells count="8">
    <mergeCell ref="A18:E18"/>
    <mergeCell ref="E21:F21"/>
    <mergeCell ref="A2:F3"/>
    <mergeCell ref="A4:F4"/>
    <mergeCell ref="A7:E7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G20"/>
  <sheetViews>
    <sheetView view="pageBreakPreview" topLeftCell="A4" zoomScaleSheetLayoutView="100" workbookViewId="0">
      <selection activeCell="A13" sqref="A13:E13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73</v>
      </c>
      <c r="B4" s="160"/>
      <c r="C4" s="160"/>
      <c r="D4" s="160"/>
      <c r="E4" s="160"/>
      <c r="F4" s="160"/>
    </row>
    <row r="5" spans="1:7" x14ac:dyDescent="0.35">
      <c r="F5" s="8">
        <v>45261</v>
      </c>
    </row>
    <row r="6" spans="1:7" s="37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37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3</v>
      </c>
      <c r="D8" s="5">
        <v>8</v>
      </c>
      <c r="E8" s="5">
        <v>26400</v>
      </c>
      <c r="F8" s="6">
        <f>E8/D8*C8</f>
        <v>9900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4</v>
      </c>
      <c r="D9" s="17">
        <v>8</v>
      </c>
      <c r="E9" s="17">
        <v>20000</v>
      </c>
      <c r="F9" s="6">
        <f>E9/D9*C9</f>
        <v>10000</v>
      </c>
    </row>
    <row r="10" spans="1:7" x14ac:dyDescent="0.35">
      <c r="A10" s="14">
        <v>3</v>
      </c>
      <c r="B10" s="4" t="s">
        <v>20</v>
      </c>
      <c r="C10" s="15">
        <v>7</v>
      </c>
      <c r="D10" s="5">
        <v>8</v>
      </c>
      <c r="E10" s="5">
        <v>26400</v>
      </c>
      <c r="F10" s="6">
        <f>E10/D10*C10</f>
        <v>23100</v>
      </c>
    </row>
    <row r="11" spans="1:7" ht="17.25" customHeight="1" x14ac:dyDescent="0.35">
      <c r="A11" s="182" t="s">
        <v>57</v>
      </c>
      <c r="B11" s="183"/>
      <c r="C11" s="183"/>
      <c r="D11" s="183"/>
      <c r="E11" s="184"/>
      <c r="F11" s="9"/>
    </row>
    <row r="12" spans="1:7" s="37" customFormat="1" ht="17.25" customHeight="1" x14ac:dyDescent="0.35">
      <c r="A12" s="12">
        <v>1</v>
      </c>
      <c r="B12" s="4" t="s">
        <v>15</v>
      </c>
      <c r="C12" s="5">
        <v>5</v>
      </c>
      <c r="D12" s="5">
        <v>8</v>
      </c>
      <c r="E12" s="5">
        <v>20000</v>
      </c>
      <c r="F12" s="6">
        <f>E12/D12*C12</f>
        <v>12500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55500</v>
      </c>
    </row>
    <row r="15" spans="1:7" x14ac:dyDescent="0.35">
      <c r="A15" s="173"/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61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G20"/>
  <sheetViews>
    <sheetView view="pageBreakPreview" topLeftCell="A4" zoomScaleSheetLayoutView="100" workbookViewId="0">
      <selection activeCell="A11" sqref="A11:E11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74</v>
      </c>
      <c r="B4" s="160"/>
      <c r="C4" s="160"/>
      <c r="D4" s="160"/>
      <c r="E4" s="160"/>
      <c r="F4" s="160"/>
    </row>
    <row r="5" spans="1:7" x14ac:dyDescent="0.35">
      <c r="F5" s="8">
        <v>45292</v>
      </c>
    </row>
    <row r="6" spans="1:7" s="38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38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3</v>
      </c>
      <c r="D8" s="5">
        <v>8</v>
      </c>
      <c r="E8" s="5">
        <v>26400</v>
      </c>
      <c r="F8" s="6">
        <f>E8/D8*C8</f>
        <v>9900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7</v>
      </c>
      <c r="D9" s="17">
        <v>8</v>
      </c>
      <c r="E9" s="17">
        <v>20000</v>
      </c>
      <c r="F9" s="6">
        <f>E9/D9*C9</f>
        <v>17500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57</v>
      </c>
      <c r="B11" s="183"/>
      <c r="C11" s="183"/>
      <c r="D11" s="183"/>
      <c r="E11" s="184"/>
      <c r="F11" s="9"/>
    </row>
    <row r="12" spans="1:7" s="38" customFormat="1" ht="17.25" customHeight="1" x14ac:dyDescent="0.35">
      <c r="A12" s="12">
        <v>1</v>
      </c>
      <c r="B12" s="4" t="s">
        <v>15</v>
      </c>
      <c r="C12" s="5">
        <v>8</v>
      </c>
      <c r="D12" s="5">
        <v>8</v>
      </c>
      <c r="E12" s="5">
        <v>20000</v>
      </c>
      <c r="F12" s="6">
        <f>E12/D12*C12</f>
        <v>20000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73800</v>
      </c>
    </row>
    <row r="15" spans="1:7" x14ac:dyDescent="0.35">
      <c r="A15" s="173"/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61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G20"/>
  <sheetViews>
    <sheetView view="pageBreakPreview" zoomScaleSheetLayoutView="100" workbookViewId="0">
      <selection activeCell="D14" sqref="D14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75</v>
      </c>
      <c r="B4" s="160"/>
      <c r="C4" s="160"/>
      <c r="D4" s="160"/>
      <c r="E4" s="160"/>
      <c r="F4" s="160"/>
    </row>
    <row r="5" spans="1:7" x14ac:dyDescent="0.35">
      <c r="F5" s="8">
        <v>45324</v>
      </c>
    </row>
    <row r="6" spans="1:7" s="39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39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5</v>
      </c>
      <c r="D8" s="5">
        <v>8</v>
      </c>
      <c r="E8" s="5">
        <v>26400</v>
      </c>
      <c r="F8" s="6">
        <f>E8/D8*C8</f>
        <v>16500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3</v>
      </c>
      <c r="D9" s="17">
        <v>8</v>
      </c>
      <c r="E9" s="17">
        <v>20000</v>
      </c>
      <c r="F9" s="6">
        <f>E9/D9*C9</f>
        <v>7500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57</v>
      </c>
      <c r="B11" s="183"/>
      <c r="C11" s="183"/>
      <c r="D11" s="183"/>
      <c r="E11" s="184"/>
      <c r="F11" s="9"/>
    </row>
    <row r="12" spans="1:7" s="39" customFormat="1" ht="17.25" customHeight="1" x14ac:dyDescent="0.35">
      <c r="A12" s="12">
        <v>1</v>
      </c>
      <c r="B12" s="4" t="s">
        <v>15</v>
      </c>
      <c r="C12" s="5">
        <v>8</v>
      </c>
      <c r="D12" s="5">
        <v>8</v>
      </c>
      <c r="E12" s="5">
        <v>20000</v>
      </c>
      <c r="F12" s="6">
        <f>E12/D12*C12</f>
        <v>20000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70400</v>
      </c>
    </row>
    <row r="15" spans="1:7" x14ac:dyDescent="0.35">
      <c r="A15" s="173"/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61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G20"/>
  <sheetViews>
    <sheetView view="pageBreakPreview" topLeftCell="A7" zoomScaleSheetLayoutView="100" workbookViewId="0">
      <selection activeCell="A2" sqref="A2:F20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76</v>
      </c>
      <c r="B4" s="160"/>
      <c r="C4" s="160"/>
      <c r="D4" s="160"/>
      <c r="E4" s="160"/>
      <c r="F4" s="160"/>
    </row>
    <row r="5" spans="1:7" x14ac:dyDescent="0.35">
      <c r="F5" s="8">
        <v>45352</v>
      </c>
    </row>
    <row r="6" spans="1:7" s="40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40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12">
        <v>1</v>
      </c>
      <c r="B8" s="4" t="s">
        <v>8</v>
      </c>
      <c r="C8" s="5">
        <v>2</v>
      </c>
      <c r="D8" s="5">
        <v>8</v>
      </c>
      <c r="E8" s="5">
        <v>26400</v>
      </c>
      <c r="F8" s="6">
        <f>E8/D8*C8</f>
        <v>6600</v>
      </c>
      <c r="G8" s="1" t="s">
        <v>9</v>
      </c>
    </row>
    <row r="9" spans="1:7" x14ac:dyDescent="0.35">
      <c r="A9" s="12">
        <v>2</v>
      </c>
      <c r="B9" s="1" t="s">
        <v>21</v>
      </c>
      <c r="C9" s="16">
        <v>1</v>
      </c>
      <c r="D9" s="17">
        <v>8</v>
      </c>
      <c r="E9" s="17">
        <v>20000</v>
      </c>
      <c r="F9" s="6">
        <f>E9/D9*C9</f>
        <v>2500</v>
      </c>
    </row>
    <row r="10" spans="1:7" x14ac:dyDescent="0.35">
      <c r="A10" s="1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57</v>
      </c>
      <c r="B11" s="183"/>
      <c r="C11" s="183"/>
      <c r="D11" s="183"/>
      <c r="E11" s="184"/>
      <c r="F11" s="9"/>
    </row>
    <row r="12" spans="1:7" s="40" customFormat="1" ht="17.25" customHeight="1" x14ac:dyDescent="0.35">
      <c r="A12" s="12">
        <v>1</v>
      </c>
      <c r="B12" s="4" t="s">
        <v>15</v>
      </c>
      <c r="C12" s="5">
        <v>8</v>
      </c>
      <c r="D12" s="5">
        <v>8</v>
      </c>
      <c r="E12" s="5">
        <v>20000</v>
      </c>
      <c r="F12" s="6">
        <f>E12/D12*C12</f>
        <v>20000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55500</v>
      </c>
    </row>
    <row r="15" spans="1:7" x14ac:dyDescent="0.35">
      <c r="A15" s="173"/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61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G20"/>
  <sheetViews>
    <sheetView view="pageBreakPreview" zoomScaleSheetLayoutView="100" workbookViewId="0">
      <selection sqref="A1:XFD1048576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60" t="s">
        <v>77</v>
      </c>
      <c r="B4" s="160"/>
      <c r="C4" s="160"/>
      <c r="D4" s="160"/>
      <c r="E4" s="160"/>
      <c r="F4" s="160"/>
    </row>
    <row r="5" spans="1:7" x14ac:dyDescent="0.35">
      <c r="F5" s="8">
        <v>45376</v>
      </c>
    </row>
    <row r="6" spans="1:7" s="41" customFormat="1" ht="34.799999999999997" x14ac:dyDescent="0.35">
      <c r="A6" s="12" t="s">
        <v>3</v>
      </c>
      <c r="B6" s="12" t="s">
        <v>0</v>
      </c>
      <c r="C6" s="12" t="s">
        <v>5</v>
      </c>
      <c r="D6" s="12" t="s">
        <v>6</v>
      </c>
      <c r="E6" s="12" t="s">
        <v>1</v>
      </c>
      <c r="F6" s="13" t="s">
        <v>2</v>
      </c>
    </row>
    <row r="7" spans="1:7" s="41" customFormat="1" ht="16.5" customHeight="1" x14ac:dyDescent="0.35">
      <c r="A7" s="161" t="s">
        <v>12</v>
      </c>
      <c r="B7" s="161"/>
      <c r="C7" s="161"/>
      <c r="D7" s="161"/>
      <c r="E7" s="161"/>
      <c r="F7" s="9"/>
    </row>
    <row r="8" spans="1:7" x14ac:dyDescent="0.35">
      <c r="A8" s="43">
        <v>1</v>
      </c>
      <c r="B8" s="4" t="s">
        <v>8</v>
      </c>
      <c r="C8" s="5">
        <v>5</v>
      </c>
      <c r="D8" s="5">
        <v>8</v>
      </c>
      <c r="E8" s="5">
        <v>26400</v>
      </c>
      <c r="F8" s="6">
        <f>E8/D8*C8</f>
        <v>16500</v>
      </c>
      <c r="G8" s="1" t="s">
        <v>9</v>
      </c>
    </row>
    <row r="9" spans="1:7" x14ac:dyDescent="0.35">
      <c r="A9" s="43">
        <v>2</v>
      </c>
      <c r="B9" s="1" t="s">
        <v>21</v>
      </c>
      <c r="C9" s="16">
        <v>7</v>
      </c>
      <c r="D9" s="17">
        <v>8</v>
      </c>
      <c r="E9" s="17">
        <v>20000</v>
      </c>
      <c r="F9" s="6">
        <f>E9/D9*C9</f>
        <v>17500</v>
      </c>
    </row>
    <row r="10" spans="1:7" x14ac:dyDescent="0.35">
      <c r="A10" s="44">
        <v>3</v>
      </c>
      <c r="B10" s="4" t="s">
        <v>20</v>
      </c>
      <c r="C10" s="15">
        <v>8</v>
      </c>
      <c r="D10" s="5">
        <v>8</v>
      </c>
      <c r="E10" s="5">
        <v>26400</v>
      </c>
      <c r="F10" s="6">
        <f>E10/D10*C10</f>
        <v>26400</v>
      </c>
    </row>
    <row r="11" spans="1:7" ht="17.25" customHeight="1" x14ac:dyDescent="0.35">
      <c r="A11" s="182" t="s">
        <v>57</v>
      </c>
      <c r="B11" s="183"/>
      <c r="C11" s="183"/>
      <c r="D11" s="183"/>
      <c r="E11" s="184"/>
      <c r="F11" s="9"/>
    </row>
    <row r="12" spans="1:7" s="41" customFormat="1" ht="17.25" customHeight="1" x14ac:dyDescent="0.35">
      <c r="A12" s="43">
        <v>1</v>
      </c>
      <c r="B12" s="4" t="s">
        <v>15</v>
      </c>
      <c r="C12" s="5">
        <v>6</v>
      </c>
      <c r="D12" s="5">
        <v>8</v>
      </c>
      <c r="E12" s="5">
        <v>20000</v>
      </c>
      <c r="F12" s="6">
        <f>E12/D12*C12</f>
        <v>15000</v>
      </c>
    </row>
    <row r="13" spans="1:7" x14ac:dyDescent="0.35">
      <c r="A13" s="181" t="s">
        <v>4</v>
      </c>
      <c r="B13" s="181"/>
      <c r="C13" s="181"/>
      <c r="D13" s="181"/>
      <c r="E13" s="181"/>
      <c r="F13" s="7">
        <f>SUM(F8:F12)</f>
        <v>75400</v>
      </c>
    </row>
    <row r="15" spans="1:7" x14ac:dyDescent="0.35">
      <c r="A15" s="173"/>
      <c r="B15" s="174"/>
      <c r="C15" s="174"/>
      <c r="D15" s="174"/>
      <c r="E15" s="174"/>
      <c r="F15" s="174"/>
    </row>
    <row r="17" spans="1:6" x14ac:dyDescent="0.35">
      <c r="A17" s="175"/>
      <c r="B17" s="175"/>
      <c r="C17" s="175"/>
      <c r="D17" s="175"/>
      <c r="E17" s="175"/>
    </row>
    <row r="20" spans="1:6" ht="69" customHeight="1" x14ac:dyDescent="0.35">
      <c r="B20" s="10"/>
      <c r="E20" s="176" t="s">
        <v>61</v>
      </c>
      <c r="F20" s="176"/>
    </row>
  </sheetData>
  <mergeCells count="8">
    <mergeCell ref="A17:E17"/>
    <mergeCell ref="E20:F20"/>
    <mergeCell ref="A2:F3"/>
    <mergeCell ref="A4:F4"/>
    <mergeCell ref="A7:E7"/>
    <mergeCell ref="A11:E11"/>
    <mergeCell ref="A13:E13"/>
    <mergeCell ref="A15:F15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9"/>
  <sheetViews>
    <sheetView workbookViewId="0">
      <selection sqref="A1:F12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/>
    <col min="6" max="6" width="16.44140625" style="3" bestFit="1" customWidth="1"/>
    <col min="7" max="16384" width="9.109375" style="1"/>
  </cols>
  <sheetData>
    <row r="1" spans="1:7" ht="17.25" customHeight="1" x14ac:dyDescent="0.35">
      <c r="A1" s="177" t="s">
        <v>56</v>
      </c>
      <c r="B1" s="177"/>
      <c r="C1" s="177"/>
      <c r="D1" s="177"/>
      <c r="E1" s="177"/>
      <c r="F1" s="177"/>
    </row>
    <row r="2" spans="1:7" x14ac:dyDescent="0.35">
      <c r="A2" s="177"/>
      <c r="B2" s="177"/>
      <c r="C2" s="177"/>
      <c r="D2" s="177"/>
      <c r="E2" s="177"/>
      <c r="F2" s="177"/>
    </row>
    <row r="3" spans="1:7" ht="37.5" customHeight="1" x14ac:dyDescent="0.35">
      <c r="A3" s="178" t="s">
        <v>80</v>
      </c>
      <c r="B3" s="178"/>
      <c r="C3" s="178"/>
      <c r="D3" s="178"/>
      <c r="E3" s="178"/>
      <c r="F3" s="178"/>
    </row>
    <row r="4" spans="1:7" x14ac:dyDescent="0.35">
      <c r="A4" s="4"/>
      <c r="B4" s="4"/>
      <c r="C4" s="5"/>
      <c r="D4" s="5"/>
      <c r="E4" s="179" t="s">
        <v>79</v>
      </c>
      <c r="F4" s="180"/>
    </row>
    <row r="5" spans="1:7" s="42" customFormat="1" ht="34.799999999999997" x14ac:dyDescent="0.35">
      <c r="A5" s="12" t="s">
        <v>3</v>
      </c>
      <c r="B5" s="12" t="s">
        <v>0</v>
      </c>
      <c r="C5" s="12" t="s">
        <v>5</v>
      </c>
      <c r="D5" s="12" t="s">
        <v>6</v>
      </c>
      <c r="E5" s="12" t="s">
        <v>1</v>
      </c>
      <c r="F5" s="13" t="s">
        <v>2</v>
      </c>
    </row>
    <row r="6" spans="1:7" s="42" customFormat="1" ht="16.5" customHeight="1" x14ac:dyDescent="0.35">
      <c r="A6" s="161" t="s">
        <v>12</v>
      </c>
      <c r="B6" s="161"/>
      <c r="C6" s="161"/>
      <c r="D6" s="161"/>
      <c r="E6" s="161"/>
      <c r="F6" s="47"/>
    </row>
    <row r="7" spans="1:7" x14ac:dyDescent="0.35">
      <c r="A7" s="43">
        <v>1</v>
      </c>
      <c r="B7" s="4" t="s">
        <v>8</v>
      </c>
      <c r="C7" s="5">
        <v>7</v>
      </c>
      <c r="D7" s="5">
        <v>8</v>
      </c>
      <c r="E7" s="5">
        <v>26400</v>
      </c>
      <c r="F7" s="6">
        <f>E7/D7*C7</f>
        <v>23100</v>
      </c>
      <c r="G7" s="1" t="s">
        <v>9</v>
      </c>
    </row>
    <row r="8" spans="1:7" x14ac:dyDescent="0.35">
      <c r="A8" s="43">
        <v>2</v>
      </c>
      <c r="B8" s="4" t="s">
        <v>21</v>
      </c>
      <c r="C8" s="5">
        <v>4</v>
      </c>
      <c r="D8" s="17">
        <v>8</v>
      </c>
      <c r="E8" s="17">
        <v>20000</v>
      </c>
      <c r="F8" s="6">
        <f>E8/D8*C8</f>
        <v>10000</v>
      </c>
    </row>
    <row r="9" spans="1:7" x14ac:dyDescent="0.35">
      <c r="A9" s="43">
        <v>3</v>
      </c>
      <c r="B9" s="4" t="s">
        <v>20</v>
      </c>
      <c r="C9" s="5">
        <v>8</v>
      </c>
      <c r="D9" s="5">
        <v>8</v>
      </c>
      <c r="E9" s="5">
        <v>26400</v>
      </c>
      <c r="F9" s="6">
        <f>E9/D9*C9</f>
        <v>26400</v>
      </c>
    </row>
    <row r="10" spans="1:7" ht="17.25" customHeight="1" x14ac:dyDescent="0.35">
      <c r="A10" s="161" t="s">
        <v>57</v>
      </c>
      <c r="B10" s="161"/>
      <c r="C10" s="161"/>
      <c r="D10" s="161"/>
      <c r="E10" s="161"/>
      <c r="F10" s="47"/>
    </row>
    <row r="11" spans="1:7" s="42" customFormat="1" ht="17.25" customHeight="1" x14ac:dyDescent="0.35">
      <c r="A11" s="43">
        <v>1</v>
      </c>
      <c r="B11" s="4" t="s">
        <v>15</v>
      </c>
      <c r="C11" s="5">
        <v>7</v>
      </c>
      <c r="D11" s="5">
        <v>8</v>
      </c>
      <c r="E11" s="5">
        <v>20000</v>
      </c>
      <c r="F11" s="6">
        <f>E11/D11*C11</f>
        <v>17500</v>
      </c>
    </row>
    <row r="12" spans="1:7" x14ac:dyDescent="0.35">
      <c r="A12" s="181" t="s">
        <v>4</v>
      </c>
      <c r="B12" s="181"/>
      <c r="C12" s="181"/>
      <c r="D12" s="181"/>
      <c r="E12" s="181"/>
      <c r="F12" s="7">
        <f>SUM(F7:F11)</f>
        <v>77000</v>
      </c>
    </row>
    <row r="14" spans="1:7" x14ac:dyDescent="0.35">
      <c r="A14" s="173"/>
      <c r="B14" s="174"/>
      <c r="C14" s="174"/>
      <c r="D14" s="174"/>
      <c r="E14" s="174"/>
      <c r="F14" s="174"/>
    </row>
    <row r="16" spans="1:7" x14ac:dyDescent="0.35">
      <c r="A16" s="175"/>
      <c r="B16" s="175"/>
      <c r="C16" s="175"/>
      <c r="D16" s="175"/>
      <c r="E16" s="175"/>
    </row>
    <row r="19" spans="2:6" ht="69" customHeight="1" x14ac:dyDescent="0.35">
      <c r="B19" s="10"/>
      <c r="E19" s="176" t="s">
        <v>61</v>
      </c>
      <c r="F19" s="176"/>
    </row>
  </sheetData>
  <mergeCells count="9">
    <mergeCell ref="A16:E16"/>
    <mergeCell ref="E19:F19"/>
    <mergeCell ref="E4:F4"/>
    <mergeCell ref="A1:F2"/>
    <mergeCell ref="A3:F3"/>
    <mergeCell ref="A6:E6"/>
    <mergeCell ref="A10:E10"/>
    <mergeCell ref="A12:E12"/>
    <mergeCell ref="A14:F14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G21"/>
  <sheetViews>
    <sheetView view="pageBreakPreview" topLeftCell="A13" zoomScaleSheetLayoutView="100" workbookViewId="0">
      <selection activeCell="E21" sqref="E21:F21"/>
    </sheetView>
  </sheetViews>
  <sheetFormatPr defaultColWidth="9.109375" defaultRowHeight="17.399999999999999" x14ac:dyDescent="0.35"/>
  <cols>
    <col min="1" max="1" width="9.109375" style="1"/>
    <col min="2" max="2" width="27.88671875" style="1" customWidth="1"/>
    <col min="3" max="3" width="12.44140625" style="2" bestFit="1" customWidth="1"/>
    <col min="4" max="4" width="10.6640625" style="2" bestFit="1" customWidth="1"/>
    <col min="5" max="5" width="9.109375" style="2" bestFit="1" customWidth="1"/>
    <col min="6" max="6" width="16.44140625" style="3" bestFit="1" customWidth="1"/>
    <col min="7" max="16384" width="9.109375" style="1"/>
  </cols>
  <sheetData>
    <row r="2" spans="1:7" ht="17.25" customHeight="1" x14ac:dyDescent="0.35">
      <c r="A2" s="159" t="s">
        <v>56</v>
      </c>
      <c r="B2" s="159"/>
      <c r="C2" s="159"/>
      <c r="D2" s="159"/>
      <c r="E2" s="159"/>
      <c r="F2" s="159"/>
    </row>
    <row r="3" spans="1:7" x14ac:dyDescent="0.35">
      <c r="A3" s="159"/>
      <c r="B3" s="159"/>
      <c r="C3" s="159"/>
      <c r="D3" s="159"/>
      <c r="E3" s="159"/>
      <c r="F3" s="159"/>
    </row>
    <row r="4" spans="1:7" ht="37.5" customHeight="1" x14ac:dyDescent="0.35">
      <c r="A4" s="178" t="s">
        <v>77</v>
      </c>
      <c r="B4" s="178"/>
      <c r="C4" s="178"/>
      <c r="D4" s="178"/>
      <c r="E4" s="178"/>
      <c r="F4" s="178"/>
    </row>
    <row r="5" spans="1:7" ht="27.75" customHeight="1" x14ac:dyDescent="0.35">
      <c r="A5" s="178" t="s">
        <v>78</v>
      </c>
      <c r="B5" s="178"/>
      <c r="C5" s="178"/>
      <c r="D5" s="178"/>
      <c r="E5" s="178"/>
      <c r="F5" s="178"/>
    </row>
    <row r="6" spans="1:7" x14ac:dyDescent="0.35">
      <c r="A6" s="4"/>
      <c r="B6" s="4"/>
      <c r="C6" s="5"/>
      <c r="D6" s="186" t="s">
        <v>79</v>
      </c>
      <c r="E6" s="186"/>
      <c r="F6" s="186"/>
    </row>
    <row r="7" spans="1:7" s="42" customFormat="1" ht="34.799999999999997" x14ac:dyDescent="0.35">
      <c r="A7" s="12" t="s">
        <v>3</v>
      </c>
      <c r="B7" s="12" t="s">
        <v>0</v>
      </c>
      <c r="C7" s="12" t="s">
        <v>5</v>
      </c>
      <c r="D7" s="12" t="s">
        <v>6</v>
      </c>
      <c r="E7" s="12" t="s">
        <v>1</v>
      </c>
      <c r="F7" s="13" t="s">
        <v>2</v>
      </c>
    </row>
    <row r="8" spans="1:7" s="42" customFormat="1" ht="16.5" customHeight="1" x14ac:dyDescent="0.35">
      <c r="A8" s="161" t="s">
        <v>12</v>
      </c>
      <c r="B8" s="161"/>
      <c r="C8" s="161"/>
      <c r="D8" s="161"/>
      <c r="E8" s="161"/>
      <c r="F8" s="47"/>
    </row>
    <row r="9" spans="1:7" x14ac:dyDescent="0.35">
      <c r="A9" s="43">
        <v>1</v>
      </c>
      <c r="B9" s="4" t="s">
        <v>8</v>
      </c>
      <c r="C9" s="5">
        <v>1</v>
      </c>
      <c r="D9" s="5">
        <v>8</v>
      </c>
      <c r="E9" s="5">
        <v>26400</v>
      </c>
      <c r="F9" s="6">
        <f>E9/D9*C9</f>
        <v>3300</v>
      </c>
      <c r="G9" s="1" t="s">
        <v>9</v>
      </c>
    </row>
    <row r="10" spans="1:7" x14ac:dyDescent="0.35">
      <c r="A10" s="43">
        <v>2</v>
      </c>
      <c r="B10" s="4" t="s">
        <v>21</v>
      </c>
      <c r="C10" s="5">
        <v>2</v>
      </c>
      <c r="D10" s="17">
        <v>8</v>
      </c>
      <c r="E10" s="17">
        <v>20000</v>
      </c>
      <c r="F10" s="6">
        <f>E10/D10*C10</f>
        <v>5000</v>
      </c>
    </row>
    <row r="11" spans="1:7" x14ac:dyDescent="0.35">
      <c r="A11" s="43">
        <v>3</v>
      </c>
      <c r="B11" s="4" t="s">
        <v>20</v>
      </c>
      <c r="C11" s="5">
        <v>0</v>
      </c>
      <c r="D11" s="5">
        <v>8</v>
      </c>
      <c r="E11" s="5">
        <v>26400</v>
      </c>
      <c r="F11" s="6">
        <f>E11/D11*C11</f>
        <v>0</v>
      </c>
    </row>
    <row r="12" spans="1:7" ht="17.25" customHeight="1" x14ac:dyDescent="0.35">
      <c r="A12" s="161" t="s">
        <v>57</v>
      </c>
      <c r="B12" s="161"/>
      <c r="C12" s="161"/>
      <c r="D12" s="161"/>
      <c r="E12" s="161"/>
      <c r="F12" s="47"/>
    </row>
    <row r="13" spans="1:7" s="42" customFormat="1" ht="17.25" customHeight="1" x14ac:dyDescent="0.35">
      <c r="A13" s="43">
        <v>1</v>
      </c>
      <c r="B13" s="4" t="s">
        <v>15</v>
      </c>
      <c r="C13" s="5">
        <v>2</v>
      </c>
      <c r="D13" s="5">
        <v>8</v>
      </c>
      <c r="E13" s="5">
        <v>20000</v>
      </c>
      <c r="F13" s="6">
        <f>E13/D13*C13</f>
        <v>5000</v>
      </c>
    </row>
    <row r="14" spans="1:7" x14ac:dyDescent="0.35">
      <c r="A14" s="181" t="s">
        <v>4</v>
      </c>
      <c r="B14" s="181"/>
      <c r="C14" s="181"/>
      <c r="D14" s="181"/>
      <c r="E14" s="181"/>
      <c r="F14" s="7">
        <f>SUM(F9:F13)</f>
        <v>13300</v>
      </c>
    </row>
    <row r="16" spans="1:7" x14ac:dyDescent="0.35">
      <c r="A16" s="173"/>
      <c r="B16" s="174"/>
      <c r="C16" s="174"/>
      <c r="D16" s="174"/>
      <c r="E16" s="174"/>
      <c r="F16" s="174"/>
    </row>
    <row r="18" spans="1:6" x14ac:dyDescent="0.35">
      <c r="A18" s="175"/>
      <c r="B18" s="175"/>
      <c r="C18" s="175"/>
      <c r="D18" s="175"/>
      <c r="E18" s="175"/>
    </row>
    <row r="21" spans="1:6" ht="69" customHeight="1" x14ac:dyDescent="0.35">
      <c r="B21" s="10"/>
      <c r="E21" s="176" t="s">
        <v>61</v>
      </c>
      <c r="F21" s="176"/>
    </row>
  </sheetData>
  <mergeCells count="10">
    <mergeCell ref="A18:E18"/>
    <mergeCell ref="E21:F21"/>
    <mergeCell ref="A5:F5"/>
    <mergeCell ref="D6:F6"/>
    <mergeCell ref="A2:F3"/>
    <mergeCell ref="A4:F4"/>
    <mergeCell ref="A8:E8"/>
    <mergeCell ref="A12:E12"/>
    <mergeCell ref="A14:E14"/>
    <mergeCell ref="A16:F16"/>
  </mergeCells>
  <printOptions horizontalCentered="1"/>
  <pageMargins left="0.47244094488188981" right="0.31496062992125984" top="0.74803149606299213" bottom="0.74803149606299213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2"/>
  <sheetViews>
    <sheetView topLeftCell="A16" zoomScaleNormal="100" workbookViewId="0">
      <selection activeCell="E22" sqref="E22:F22"/>
    </sheetView>
  </sheetViews>
  <sheetFormatPr defaultRowHeight="14.4" x14ac:dyDescent="0.3"/>
  <cols>
    <col min="2" max="2" width="24.6640625" customWidth="1"/>
    <col min="3" max="3" width="12.6640625" customWidth="1"/>
    <col min="4" max="4" width="11.33203125" customWidth="1"/>
    <col min="5" max="5" width="13.109375" customWidth="1"/>
    <col min="6" max="6" width="19.33203125" customWidth="1"/>
  </cols>
  <sheetData>
    <row r="1" spans="1:6" x14ac:dyDescent="0.3">
      <c r="A1" s="177" t="s">
        <v>56</v>
      </c>
      <c r="B1" s="177"/>
      <c r="C1" s="177"/>
      <c r="D1" s="177"/>
      <c r="E1" s="177"/>
      <c r="F1" s="177"/>
    </row>
    <row r="2" spans="1:6" x14ac:dyDescent="0.3">
      <c r="A2" s="177"/>
      <c r="B2" s="177"/>
      <c r="C2" s="177"/>
      <c r="D2" s="177"/>
      <c r="E2" s="177"/>
      <c r="F2" s="177"/>
    </row>
    <row r="3" spans="1:6" ht="17.399999999999999" x14ac:dyDescent="0.3">
      <c r="A3" s="178" t="s">
        <v>80</v>
      </c>
      <c r="B3" s="178"/>
      <c r="C3" s="178"/>
      <c r="D3" s="178"/>
      <c r="E3" s="178"/>
      <c r="F3" s="178"/>
    </row>
    <row r="4" spans="1:6" ht="17.399999999999999" x14ac:dyDescent="0.35">
      <c r="A4" s="4"/>
      <c r="B4" s="4"/>
      <c r="C4" s="5"/>
      <c r="D4" s="5"/>
      <c r="E4" s="187" t="s">
        <v>81</v>
      </c>
      <c r="F4" s="187"/>
    </row>
    <row r="5" spans="1:6" ht="34.799999999999997" x14ac:dyDescent="0.35">
      <c r="A5" s="46" t="s">
        <v>3</v>
      </c>
      <c r="B5" s="46" t="s">
        <v>0</v>
      </c>
      <c r="C5" s="46" t="s">
        <v>5</v>
      </c>
      <c r="D5" s="46" t="s">
        <v>6</v>
      </c>
      <c r="E5" s="46" t="s">
        <v>1</v>
      </c>
      <c r="F5" s="13" t="s">
        <v>2</v>
      </c>
    </row>
    <row r="6" spans="1:6" ht="17.399999999999999" x14ac:dyDescent="0.3">
      <c r="A6" s="161" t="s">
        <v>12</v>
      </c>
      <c r="B6" s="161"/>
      <c r="C6" s="161"/>
      <c r="D6" s="161"/>
      <c r="E6" s="161"/>
      <c r="F6" s="47"/>
    </row>
    <row r="7" spans="1:6" ht="17.399999999999999" x14ac:dyDescent="0.35">
      <c r="A7" s="43">
        <v>1</v>
      </c>
      <c r="B7" s="4" t="s">
        <v>8</v>
      </c>
      <c r="C7" s="5">
        <v>6</v>
      </c>
      <c r="D7" s="5">
        <v>8</v>
      </c>
      <c r="E7" s="5">
        <v>26400</v>
      </c>
      <c r="F7" s="6">
        <f>E7/D7*C7</f>
        <v>19800</v>
      </c>
    </row>
    <row r="8" spans="1:6" ht="17.399999999999999" x14ac:dyDescent="0.35">
      <c r="A8" s="43">
        <v>2</v>
      </c>
      <c r="B8" s="4" t="s">
        <v>21</v>
      </c>
      <c r="C8" s="5">
        <v>8</v>
      </c>
      <c r="D8" s="17">
        <v>8</v>
      </c>
      <c r="E8" s="17">
        <v>20000</v>
      </c>
      <c r="F8" s="6">
        <f>E8/D8*C8</f>
        <v>20000</v>
      </c>
    </row>
    <row r="9" spans="1:6" ht="63.75" customHeight="1" x14ac:dyDescent="0.3">
      <c r="A9" s="43">
        <v>3</v>
      </c>
      <c r="B9" s="50" t="s">
        <v>82</v>
      </c>
      <c r="C9" s="17">
        <v>10</v>
      </c>
      <c r="D9" s="17">
        <v>10</v>
      </c>
      <c r="E9" s="17">
        <v>26400</v>
      </c>
      <c r="F9" s="18">
        <v>33000</v>
      </c>
    </row>
    <row r="10" spans="1:6" ht="20.25" customHeight="1" x14ac:dyDescent="0.3">
      <c r="A10" s="161" t="s">
        <v>57</v>
      </c>
      <c r="B10" s="161"/>
      <c r="C10" s="161"/>
      <c r="D10" s="161"/>
      <c r="E10" s="161"/>
      <c r="F10" s="47"/>
    </row>
    <row r="11" spans="1:6" ht="17.399999999999999" x14ac:dyDescent="0.35">
      <c r="A11" s="43">
        <v>1</v>
      </c>
      <c r="B11" s="4" t="s">
        <v>15</v>
      </c>
      <c r="C11" s="5">
        <v>7</v>
      </c>
      <c r="D11" s="5">
        <v>8</v>
      </c>
      <c r="E11" s="5">
        <v>20000</v>
      </c>
      <c r="F11" s="6">
        <f>E11/D11*C11</f>
        <v>17500</v>
      </c>
    </row>
    <row r="12" spans="1:6" ht="17.399999999999999" x14ac:dyDescent="0.35">
      <c r="A12" s="181" t="s">
        <v>4</v>
      </c>
      <c r="B12" s="181"/>
      <c r="C12" s="181"/>
      <c r="D12" s="181"/>
      <c r="E12" s="181"/>
      <c r="F12" s="7">
        <f>SUM(F7:F11)</f>
        <v>90300</v>
      </c>
    </row>
    <row r="19" spans="5:6" ht="17.25" customHeight="1" x14ac:dyDescent="0.3">
      <c r="E19" s="166" t="s">
        <v>83</v>
      </c>
      <c r="F19" s="166"/>
    </row>
    <row r="20" spans="5:6" ht="17.25" customHeight="1" x14ac:dyDescent="0.3">
      <c r="E20" s="166" t="s">
        <v>86</v>
      </c>
      <c r="F20" s="166"/>
    </row>
    <row r="21" spans="5:6" ht="17.25" customHeight="1" x14ac:dyDescent="0.3">
      <c r="E21" s="166" t="s">
        <v>84</v>
      </c>
      <c r="F21" s="166"/>
    </row>
    <row r="22" spans="5:6" ht="17.25" customHeight="1" x14ac:dyDescent="0.3">
      <c r="E22" s="166" t="s">
        <v>85</v>
      </c>
      <c r="F22" s="166"/>
    </row>
  </sheetData>
  <mergeCells count="10">
    <mergeCell ref="E19:F19"/>
    <mergeCell ref="E21:F21"/>
    <mergeCell ref="E22:F22"/>
    <mergeCell ref="E20:F20"/>
    <mergeCell ref="A1:F2"/>
    <mergeCell ref="A3:F3"/>
    <mergeCell ref="E4:F4"/>
    <mergeCell ref="A6:E6"/>
    <mergeCell ref="A10:E10"/>
    <mergeCell ref="A12:E12"/>
  </mergeCells>
  <pageMargins left="0.7" right="0.7" top="0.75" bottom="0.75" header="0.3" footer="0.3"/>
  <pageSetup paperSize="9" scale="96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3"/>
  <sheetViews>
    <sheetView workbookViewId="0">
      <selection sqref="A1:XFD1048576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6" ht="9" customHeight="1" x14ac:dyDescent="0.3"/>
    <row r="2" spans="1:6" ht="15" customHeight="1" x14ac:dyDescent="0.3">
      <c r="A2" s="159" t="s">
        <v>56</v>
      </c>
      <c r="B2" s="159"/>
      <c r="C2" s="159"/>
      <c r="D2" s="159"/>
      <c r="E2" s="159"/>
      <c r="F2" s="159"/>
    </row>
    <row r="3" spans="1:6" ht="24" customHeight="1" x14ac:dyDescent="0.3">
      <c r="A3" s="159"/>
      <c r="B3" s="159"/>
      <c r="C3" s="159"/>
      <c r="D3" s="159"/>
      <c r="E3" s="159"/>
      <c r="F3" s="159"/>
    </row>
    <row r="4" spans="1:6" ht="17.25" customHeight="1" x14ac:dyDescent="0.3">
      <c r="A4" s="160" t="s">
        <v>76</v>
      </c>
      <c r="B4" s="160"/>
      <c r="C4" s="160"/>
      <c r="D4" s="160"/>
      <c r="E4" s="160"/>
      <c r="F4" s="160"/>
    </row>
    <row r="5" spans="1:6" ht="17.399999999999999" x14ac:dyDescent="0.35">
      <c r="A5" s="1"/>
      <c r="B5" s="1"/>
      <c r="C5" s="2"/>
      <c r="D5" s="2"/>
      <c r="E5" s="2"/>
      <c r="F5" s="8">
        <v>45505</v>
      </c>
    </row>
    <row r="6" spans="1:6" ht="52.2" x14ac:dyDescent="0.35">
      <c r="A6" s="49" t="s">
        <v>3</v>
      </c>
      <c r="B6" s="49" t="s">
        <v>0</v>
      </c>
      <c r="C6" s="49" t="s">
        <v>5</v>
      </c>
      <c r="D6" s="49" t="s">
        <v>6</v>
      </c>
      <c r="E6" s="49" t="s">
        <v>1</v>
      </c>
      <c r="F6" s="13" t="s">
        <v>2</v>
      </c>
    </row>
    <row r="7" spans="1:6" ht="17.25" customHeight="1" x14ac:dyDescent="0.3">
      <c r="A7" s="161" t="s">
        <v>12</v>
      </c>
      <c r="B7" s="161"/>
      <c r="C7" s="161"/>
      <c r="D7" s="161"/>
      <c r="E7" s="161"/>
      <c r="F7" s="9"/>
    </row>
    <row r="8" spans="1:6" ht="17.399999999999999" x14ac:dyDescent="0.35">
      <c r="A8" s="49">
        <v>1</v>
      </c>
      <c r="B8" s="4" t="s">
        <v>8</v>
      </c>
      <c r="C8" s="51">
        <v>5</v>
      </c>
      <c r="D8" s="51">
        <v>8</v>
      </c>
      <c r="E8" s="51">
        <v>26400</v>
      </c>
      <c r="F8" s="6">
        <f>E8/D8*C8</f>
        <v>16500</v>
      </c>
    </row>
    <row r="9" spans="1:6" ht="17.399999999999999" x14ac:dyDescent="0.35">
      <c r="A9" s="49">
        <v>2</v>
      </c>
      <c r="B9" s="1" t="s">
        <v>21</v>
      </c>
      <c r="C9" s="48">
        <v>7</v>
      </c>
      <c r="D9" s="17">
        <v>8</v>
      </c>
      <c r="E9" s="17">
        <v>20000</v>
      </c>
      <c r="F9" s="6">
        <f>E9/D9*C9</f>
        <v>17500</v>
      </c>
    </row>
    <row r="10" spans="1:6" ht="17.399999999999999" x14ac:dyDescent="0.35">
      <c r="A10" s="14">
        <v>3</v>
      </c>
      <c r="B10" s="4" t="s">
        <v>20</v>
      </c>
      <c r="C10" s="15">
        <v>8</v>
      </c>
      <c r="D10" s="51">
        <v>8</v>
      </c>
      <c r="E10" s="51">
        <v>26400</v>
      </c>
      <c r="F10" s="6">
        <f>E10/D10*C10</f>
        <v>26400</v>
      </c>
    </row>
    <row r="11" spans="1:6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6" ht="17.399999999999999" x14ac:dyDescent="0.35">
      <c r="A12" s="49">
        <v>1</v>
      </c>
      <c r="B12" s="4" t="s">
        <v>15</v>
      </c>
      <c r="C12" s="51">
        <v>6</v>
      </c>
      <c r="D12" s="51">
        <v>8</v>
      </c>
      <c r="E12" s="51">
        <v>20000</v>
      </c>
      <c r="F12" s="6">
        <f>E12/D12*C12</f>
        <v>15000</v>
      </c>
    </row>
    <row r="13" spans="1:6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75400</v>
      </c>
    </row>
    <row r="14" spans="1:6" ht="17.399999999999999" x14ac:dyDescent="0.35">
      <c r="A14" s="1"/>
      <c r="B14" s="1"/>
      <c r="C14" s="2"/>
      <c r="D14" s="2"/>
      <c r="E14" s="2"/>
      <c r="F14" s="3"/>
    </row>
    <row r="15" spans="1:6" x14ac:dyDescent="0.3">
      <c r="A15" s="173"/>
      <c r="B15" s="174"/>
      <c r="C15" s="174"/>
      <c r="D15" s="174"/>
      <c r="E15" s="174"/>
      <c r="F15" s="174"/>
    </row>
    <row r="16" spans="1:6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76" t="s">
        <v>61</v>
      </c>
      <c r="F20" s="176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2:F3"/>
    <mergeCell ref="A4:F4"/>
    <mergeCell ref="A7:E7"/>
    <mergeCell ref="A11:E11"/>
    <mergeCell ref="A13:E13"/>
    <mergeCell ref="E20:F20"/>
    <mergeCell ref="E21:F21"/>
    <mergeCell ref="E22:F22"/>
    <mergeCell ref="E23:F23"/>
    <mergeCell ref="A15:F15"/>
    <mergeCell ref="A17:E17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3"/>
  <sheetViews>
    <sheetView workbookViewId="0">
      <selection activeCell="F5" sqref="F5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6" ht="9" customHeight="1" x14ac:dyDescent="0.3"/>
    <row r="2" spans="1:6" ht="15" customHeight="1" x14ac:dyDescent="0.3">
      <c r="A2" s="159" t="s">
        <v>56</v>
      </c>
      <c r="B2" s="159"/>
      <c r="C2" s="159"/>
      <c r="D2" s="159"/>
      <c r="E2" s="159"/>
      <c r="F2" s="159"/>
    </row>
    <row r="3" spans="1:6" ht="24" customHeight="1" x14ac:dyDescent="0.3">
      <c r="A3" s="159"/>
      <c r="B3" s="159"/>
      <c r="C3" s="159"/>
      <c r="D3" s="159"/>
      <c r="E3" s="159"/>
      <c r="F3" s="159"/>
    </row>
    <row r="4" spans="1:6" ht="17.25" customHeight="1" x14ac:dyDescent="0.3">
      <c r="A4" s="160" t="s">
        <v>76</v>
      </c>
      <c r="B4" s="160"/>
      <c r="C4" s="160"/>
      <c r="D4" s="160"/>
      <c r="E4" s="160"/>
      <c r="F4" s="160"/>
    </row>
    <row r="5" spans="1:6" ht="17.399999999999999" x14ac:dyDescent="0.35">
      <c r="A5" s="1"/>
      <c r="B5" s="1"/>
      <c r="C5" s="2"/>
      <c r="D5" s="2"/>
      <c r="E5" s="2"/>
      <c r="F5" s="8">
        <v>45567</v>
      </c>
    </row>
    <row r="6" spans="1:6" ht="52.2" x14ac:dyDescent="0.35">
      <c r="A6" s="52" t="s">
        <v>3</v>
      </c>
      <c r="B6" s="52" t="s">
        <v>0</v>
      </c>
      <c r="C6" s="52" t="s">
        <v>5</v>
      </c>
      <c r="D6" s="52" t="s">
        <v>6</v>
      </c>
      <c r="E6" s="52" t="s">
        <v>1</v>
      </c>
      <c r="F6" s="13" t="s">
        <v>2</v>
      </c>
    </row>
    <row r="7" spans="1:6" ht="17.25" customHeight="1" x14ac:dyDescent="0.3">
      <c r="A7" s="161" t="s">
        <v>12</v>
      </c>
      <c r="B7" s="161"/>
      <c r="C7" s="161"/>
      <c r="D7" s="161"/>
      <c r="E7" s="161"/>
      <c r="F7" s="9"/>
    </row>
    <row r="8" spans="1:6" ht="17.399999999999999" x14ac:dyDescent="0.35">
      <c r="A8" s="52">
        <v>1</v>
      </c>
      <c r="B8" s="4" t="s">
        <v>8</v>
      </c>
      <c r="C8" s="54">
        <v>5</v>
      </c>
      <c r="D8" s="54">
        <v>8</v>
      </c>
      <c r="E8" s="54">
        <v>26400</v>
      </c>
      <c r="F8" s="6">
        <f>E8/D8*C8</f>
        <v>16500</v>
      </c>
    </row>
    <row r="9" spans="1:6" ht="17.399999999999999" x14ac:dyDescent="0.35">
      <c r="A9" s="52">
        <v>2</v>
      </c>
      <c r="B9" s="1" t="s">
        <v>21</v>
      </c>
      <c r="C9" s="53">
        <v>7</v>
      </c>
      <c r="D9" s="17">
        <v>8</v>
      </c>
      <c r="E9" s="17">
        <v>20000</v>
      </c>
      <c r="F9" s="6">
        <f>E9/D9*C9</f>
        <v>17500</v>
      </c>
    </row>
    <row r="10" spans="1:6" ht="17.399999999999999" x14ac:dyDescent="0.35">
      <c r="A10" s="14">
        <v>3</v>
      </c>
      <c r="B10" s="4" t="s">
        <v>20</v>
      </c>
      <c r="C10" s="15">
        <v>6</v>
      </c>
      <c r="D10" s="54">
        <v>8</v>
      </c>
      <c r="E10" s="54">
        <v>26400</v>
      </c>
      <c r="F10" s="6">
        <f>E10/D10*C10</f>
        <v>19800</v>
      </c>
    </row>
    <row r="11" spans="1:6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6" ht="17.399999999999999" x14ac:dyDescent="0.35">
      <c r="A12" s="52">
        <v>1</v>
      </c>
      <c r="B12" s="4" t="s">
        <v>15</v>
      </c>
      <c r="C12" s="54">
        <v>6</v>
      </c>
      <c r="D12" s="54">
        <v>8</v>
      </c>
      <c r="E12" s="54">
        <v>20000</v>
      </c>
      <c r="F12" s="6">
        <f>E12/D12*C12</f>
        <v>15000</v>
      </c>
    </row>
    <row r="13" spans="1:6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68800</v>
      </c>
    </row>
    <row r="14" spans="1:6" ht="17.399999999999999" x14ac:dyDescent="0.35">
      <c r="A14" s="1"/>
      <c r="B14" s="1"/>
      <c r="C14" s="2"/>
      <c r="D14" s="2"/>
      <c r="E14" s="2"/>
      <c r="F14" s="3"/>
    </row>
    <row r="15" spans="1:6" x14ac:dyDescent="0.3">
      <c r="A15" s="173"/>
      <c r="B15" s="174"/>
      <c r="C15" s="174"/>
      <c r="D15" s="174"/>
      <c r="E15" s="174"/>
      <c r="F15" s="174"/>
    </row>
    <row r="16" spans="1:6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76" t="s">
        <v>61</v>
      </c>
      <c r="F20" s="176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7:E17"/>
    <mergeCell ref="E20:F20"/>
    <mergeCell ref="E21:F21"/>
    <mergeCell ref="E22:F22"/>
    <mergeCell ref="E23:F23"/>
    <mergeCell ref="A15:F15"/>
    <mergeCell ref="A2:F3"/>
    <mergeCell ref="A4:F4"/>
    <mergeCell ref="A7:E7"/>
    <mergeCell ref="A11:E11"/>
    <mergeCell ref="A13:E13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3"/>
  <sheetViews>
    <sheetView workbookViewId="0">
      <selection activeCell="C9" sqref="C9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6" ht="9" customHeight="1" x14ac:dyDescent="0.3"/>
    <row r="2" spans="1:6" ht="15" customHeight="1" x14ac:dyDescent="0.3">
      <c r="A2" s="159" t="s">
        <v>56</v>
      </c>
      <c r="B2" s="159"/>
      <c r="C2" s="159"/>
      <c r="D2" s="159"/>
      <c r="E2" s="159"/>
      <c r="F2" s="159"/>
    </row>
    <row r="3" spans="1:6" ht="24" customHeight="1" x14ac:dyDescent="0.3">
      <c r="A3" s="159"/>
      <c r="B3" s="159"/>
      <c r="C3" s="159"/>
      <c r="D3" s="159"/>
      <c r="E3" s="159"/>
      <c r="F3" s="159"/>
    </row>
    <row r="4" spans="1:6" ht="17.25" customHeight="1" x14ac:dyDescent="0.3">
      <c r="A4" s="160" t="s">
        <v>76</v>
      </c>
      <c r="B4" s="160"/>
      <c r="C4" s="160"/>
      <c r="D4" s="160"/>
      <c r="E4" s="160"/>
      <c r="F4" s="160"/>
    </row>
    <row r="5" spans="1:6" ht="17.399999999999999" x14ac:dyDescent="0.35">
      <c r="A5" s="1"/>
      <c r="B5" s="1"/>
      <c r="C5" s="2"/>
      <c r="D5" s="2"/>
      <c r="E5" s="2"/>
      <c r="F5" s="8">
        <v>45566</v>
      </c>
    </row>
    <row r="6" spans="1:6" ht="52.2" x14ac:dyDescent="0.35">
      <c r="A6" s="55" t="s">
        <v>3</v>
      </c>
      <c r="B6" s="55" t="s">
        <v>0</v>
      </c>
      <c r="C6" s="55" t="s">
        <v>5</v>
      </c>
      <c r="D6" s="55" t="s">
        <v>6</v>
      </c>
      <c r="E6" s="55" t="s">
        <v>1</v>
      </c>
      <c r="F6" s="13" t="s">
        <v>2</v>
      </c>
    </row>
    <row r="7" spans="1:6" ht="17.25" customHeight="1" x14ac:dyDescent="0.3">
      <c r="A7" s="161" t="s">
        <v>12</v>
      </c>
      <c r="B7" s="161"/>
      <c r="C7" s="161"/>
      <c r="D7" s="161"/>
      <c r="E7" s="161"/>
      <c r="F7" s="9"/>
    </row>
    <row r="8" spans="1:6" ht="17.399999999999999" x14ac:dyDescent="0.35">
      <c r="A8" s="55">
        <v>1</v>
      </c>
      <c r="B8" s="4" t="s">
        <v>8</v>
      </c>
      <c r="C8" s="57">
        <v>6</v>
      </c>
      <c r="D8" s="57">
        <v>8</v>
      </c>
      <c r="E8" s="57">
        <v>26400</v>
      </c>
      <c r="F8" s="6">
        <f>E8/D8*C8</f>
        <v>19800</v>
      </c>
    </row>
    <row r="9" spans="1:6" ht="17.399999999999999" x14ac:dyDescent="0.35">
      <c r="A9" s="55">
        <v>2</v>
      </c>
      <c r="B9" s="1" t="s">
        <v>21</v>
      </c>
      <c r="C9" s="56">
        <v>6</v>
      </c>
      <c r="D9" s="17">
        <v>8</v>
      </c>
      <c r="E9" s="17">
        <v>20000</v>
      </c>
      <c r="F9" s="6">
        <f>E9/D9*C9</f>
        <v>15000</v>
      </c>
    </row>
    <row r="10" spans="1:6" ht="17.399999999999999" x14ac:dyDescent="0.35">
      <c r="A10" s="14">
        <v>3</v>
      </c>
      <c r="B10" s="4" t="s">
        <v>20</v>
      </c>
      <c r="C10" s="15">
        <v>8</v>
      </c>
      <c r="D10" s="57">
        <v>8</v>
      </c>
      <c r="E10" s="57">
        <v>26400</v>
      </c>
      <c r="F10" s="6">
        <f>E10/D10*C10</f>
        <v>26400</v>
      </c>
    </row>
    <row r="11" spans="1:6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6" ht="17.399999999999999" x14ac:dyDescent="0.35">
      <c r="A12" s="55">
        <v>1</v>
      </c>
      <c r="B12" s="4" t="s">
        <v>15</v>
      </c>
      <c r="C12" s="57">
        <v>5</v>
      </c>
      <c r="D12" s="57">
        <v>8</v>
      </c>
      <c r="E12" s="57">
        <v>20000</v>
      </c>
      <c r="F12" s="6">
        <f>E12/D12*C12</f>
        <v>12500</v>
      </c>
    </row>
    <row r="13" spans="1:6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73700</v>
      </c>
    </row>
    <row r="14" spans="1:6" ht="17.399999999999999" x14ac:dyDescent="0.35">
      <c r="A14" s="1"/>
      <c r="B14" s="1"/>
      <c r="C14" s="2"/>
      <c r="D14" s="2"/>
      <c r="E14" s="2"/>
      <c r="F14" s="3"/>
    </row>
    <row r="15" spans="1:6" x14ac:dyDescent="0.3">
      <c r="A15" s="173"/>
      <c r="B15" s="174"/>
      <c r="C15" s="174"/>
      <c r="D15" s="174"/>
      <c r="E15" s="174"/>
      <c r="F15" s="174"/>
    </row>
    <row r="16" spans="1:6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5:F15"/>
    <mergeCell ref="A2:F3"/>
    <mergeCell ref="A4:F4"/>
    <mergeCell ref="A7:E7"/>
    <mergeCell ref="A11:E11"/>
    <mergeCell ref="A13:E13"/>
    <mergeCell ref="A17:E17"/>
    <mergeCell ref="E20:F20"/>
    <mergeCell ref="E21:F21"/>
    <mergeCell ref="E22:F22"/>
    <mergeCell ref="E23:F23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3"/>
  <sheetViews>
    <sheetView workbookViewId="0">
      <selection sqref="A1:XFD1048576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6" ht="9" customHeight="1" x14ac:dyDescent="0.3"/>
    <row r="2" spans="1:6" ht="15" customHeight="1" x14ac:dyDescent="0.3">
      <c r="A2" s="159" t="s">
        <v>56</v>
      </c>
      <c r="B2" s="159"/>
      <c r="C2" s="159"/>
      <c r="D2" s="159"/>
      <c r="E2" s="159"/>
      <c r="F2" s="159"/>
    </row>
    <row r="3" spans="1:6" ht="24" customHeight="1" x14ac:dyDescent="0.3">
      <c r="A3" s="159"/>
      <c r="B3" s="159"/>
      <c r="C3" s="159"/>
      <c r="D3" s="159"/>
      <c r="E3" s="159"/>
      <c r="F3" s="159"/>
    </row>
    <row r="4" spans="1:6" ht="17.25" customHeight="1" x14ac:dyDescent="0.3">
      <c r="A4" s="160" t="s">
        <v>76</v>
      </c>
      <c r="B4" s="160"/>
      <c r="C4" s="160"/>
      <c r="D4" s="160"/>
      <c r="E4" s="160"/>
      <c r="F4" s="160"/>
    </row>
    <row r="5" spans="1:6" ht="17.399999999999999" x14ac:dyDescent="0.35">
      <c r="A5" s="188" t="s">
        <v>87</v>
      </c>
      <c r="B5" s="188"/>
      <c r="C5" s="188"/>
      <c r="D5" s="2"/>
      <c r="E5" s="2"/>
      <c r="F5" s="8">
        <v>45590</v>
      </c>
    </row>
    <row r="6" spans="1:6" ht="52.2" x14ac:dyDescent="0.35">
      <c r="A6" s="58" t="s">
        <v>3</v>
      </c>
      <c r="B6" s="58" t="s">
        <v>0</v>
      </c>
      <c r="C6" s="58" t="s">
        <v>5</v>
      </c>
      <c r="D6" s="58" t="s">
        <v>6</v>
      </c>
      <c r="E6" s="58" t="s">
        <v>1</v>
      </c>
      <c r="F6" s="13" t="s">
        <v>2</v>
      </c>
    </row>
    <row r="7" spans="1:6" ht="17.25" customHeight="1" x14ac:dyDescent="0.3">
      <c r="A7" s="161" t="s">
        <v>12</v>
      </c>
      <c r="B7" s="161"/>
      <c r="C7" s="161"/>
      <c r="D7" s="161"/>
      <c r="E7" s="161"/>
      <c r="F7" s="9"/>
    </row>
    <row r="8" spans="1:6" ht="17.399999999999999" x14ac:dyDescent="0.35">
      <c r="A8" s="58">
        <v>1</v>
      </c>
      <c r="B8" s="4" t="s">
        <v>8</v>
      </c>
      <c r="C8" s="60">
        <v>6</v>
      </c>
      <c r="D8" s="60">
        <v>8</v>
      </c>
      <c r="E8" s="60">
        <v>26400</v>
      </c>
      <c r="F8" s="6">
        <f>E8/D8*C8</f>
        <v>19800</v>
      </c>
    </row>
    <row r="9" spans="1:6" ht="17.399999999999999" x14ac:dyDescent="0.35">
      <c r="A9" s="58">
        <v>2</v>
      </c>
      <c r="B9" s="1" t="s">
        <v>21</v>
      </c>
      <c r="C9" s="59">
        <v>1</v>
      </c>
      <c r="D9" s="17">
        <v>8</v>
      </c>
      <c r="E9" s="17">
        <v>20000</v>
      </c>
      <c r="F9" s="6">
        <f>E9/D9*C9</f>
        <v>2500</v>
      </c>
    </row>
    <row r="10" spans="1:6" ht="17.399999999999999" x14ac:dyDescent="0.35">
      <c r="A10" s="14">
        <v>3</v>
      </c>
      <c r="B10" s="4" t="s">
        <v>20</v>
      </c>
      <c r="C10" s="15">
        <v>6</v>
      </c>
      <c r="D10" s="60">
        <v>8</v>
      </c>
      <c r="E10" s="60">
        <v>26400</v>
      </c>
      <c r="F10" s="6">
        <f>E10/D10*C10</f>
        <v>19800</v>
      </c>
    </row>
    <row r="11" spans="1:6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6" ht="17.399999999999999" x14ac:dyDescent="0.35">
      <c r="A12" s="58">
        <v>1</v>
      </c>
      <c r="B12" s="4" t="s">
        <v>15</v>
      </c>
      <c r="C12" s="60">
        <v>6</v>
      </c>
      <c r="D12" s="60">
        <v>8</v>
      </c>
      <c r="E12" s="60">
        <v>20000</v>
      </c>
      <c r="F12" s="6">
        <f>E12/D12*C12</f>
        <v>15000</v>
      </c>
    </row>
    <row r="13" spans="1:6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57100</v>
      </c>
    </row>
    <row r="14" spans="1:6" ht="17.399999999999999" x14ac:dyDescent="0.35">
      <c r="A14" s="1"/>
      <c r="B14" s="1"/>
      <c r="C14" s="2"/>
      <c r="D14" s="2"/>
      <c r="E14" s="2"/>
      <c r="F14" s="3"/>
    </row>
    <row r="15" spans="1:6" x14ac:dyDescent="0.3">
      <c r="A15" s="173"/>
      <c r="B15" s="174"/>
      <c r="C15" s="174"/>
      <c r="D15" s="174"/>
      <c r="E15" s="174"/>
      <c r="F15" s="174"/>
    </row>
    <row r="16" spans="1:6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2">
    <mergeCell ref="A13:E13"/>
    <mergeCell ref="A15:F15"/>
    <mergeCell ref="A5:C5"/>
    <mergeCell ref="A2:F3"/>
    <mergeCell ref="A4:F4"/>
    <mergeCell ref="A7:E7"/>
    <mergeCell ref="A11:E11"/>
    <mergeCell ref="A17:E17"/>
    <mergeCell ref="E20:F20"/>
    <mergeCell ref="E21:F21"/>
    <mergeCell ref="E22:F22"/>
    <mergeCell ref="E23:F23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3"/>
  <sheetViews>
    <sheetView workbookViewId="0">
      <selection activeCell="A15" sqref="A15:F15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6" ht="9" customHeight="1" x14ac:dyDescent="0.3"/>
    <row r="2" spans="1:6" ht="15" customHeight="1" x14ac:dyDescent="0.3">
      <c r="A2" s="159" t="s">
        <v>56</v>
      </c>
      <c r="B2" s="159"/>
      <c r="C2" s="159"/>
      <c r="D2" s="159"/>
      <c r="E2" s="159"/>
      <c r="F2" s="159"/>
    </row>
    <row r="3" spans="1:6" ht="24" customHeight="1" x14ac:dyDescent="0.3">
      <c r="A3" s="159"/>
      <c r="B3" s="159"/>
      <c r="C3" s="159"/>
      <c r="D3" s="159"/>
      <c r="E3" s="159"/>
      <c r="F3" s="159"/>
    </row>
    <row r="4" spans="1:6" ht="17.25" customHeight="1" x14ac:dyDescent="0.3">
      <c r="A4" s="160" t="s">
        <v>76</v>
      </c>
      <c r="B4" s="160"/>
      <c r="C4" s="160"/>
      <c r="D4" s="160"/>
      <c r="E4" s="160"/>
      <c r="F4" s="160"/>
    </row>
    <row r="5" spans="1:6" ht="17.399999999999999" x14ac:dyDescent="0.35">
      <c r="A5" s="188" t="s">
        <v>88</v>
      </c>
      <c r="B5" s="188"/>
      <c r="C5" s="188"/>
      <c r="D5" s="2"/>
      <c r="E5" s="2"/>
      <c r="F5" s="8">
        <v>45628</v>
      </c>
    </row>
    <row r="6" spans="1:6" ht="52.2" x14ac:dyDescent="0.35">
      <c r="A6" s="61" t="s">
        <v>3</v>
      </c>
      <c r="B6" s="61" t="s">
        <v>0</v>
      </c>
      <c r="C6" s="61" t="s">
        <v>5</v>
      </c>
      <c r="D6" s="61" t="s">
        <v>6</v>
      </c>
      <c r="E6" s="61" t="s">
        <v>1</v>
      </c>
      <c r="F6" s="13" t="s">
        <v>2</v>
      </c>
    </row>
    <row r="7" spans="1:6" ht="17.25" customHeight="1" x14ac:dyDescent="0.3">
      <c r="A7" s="161" t="s">
        <v>12</v>
      </c>
      <c r="B7" s="161"/>
      <c r="C7" s="161"/>
      <c r="D7" s="161"/>
      <c r="E7" s="161"/>
      <c r="F7" s="9"/>
    </row>
    <row r="8" spans="1:6" ht="17.399999999999999" x14ac:dyDescent="0.35">
      <c r="A8" s="61">
        <v>1</v>
      </c>
      <c r="B8" s="4" t="s">
        <v>8</v>
      </c>
      <c r="C8" s="63">
        <v>2</v>
      </c>
      <c r="D8" s="63">
        <v>8</v>
      </c>
      <c r="E8" s="63">
        <v>26400</v>
      </c>
      <c r="F8" s="6">
        <f>E8/D8*C8</f>
        <v>6600</v>
      </c>
    </row>
    <row r="9" spans="1:6" ht="17.399999999999999" x14ac:dyDescent="0.35">
      <c r="A9" s="61">
        <v>2</v>
      </c>
      <c r="B9" s="1" t="s">
        <v>21</v>
      </c>
      <c r="C9" s="62">
        <v>0</v>
      </c>
      <c r="D9" s="17">
        <v>8</v>
      </c>
      <c r="E9" s="17">
        <v>20000</v>
      </c>
      <c r="F9" s="6">
        <f>E9/D9*C9</f>
        <v>0</v>
      </c>
    </row>
    <row r="10" spans="1:6" ht="17.399999999999999" x14ac:dyDescent="0.35">
      <c r="A10" s="14">
        <v>3</v>
      </c>
      <c r="B10" s="4" t="s">
        <v>20</v>
      </c>
      <c r="C10" s="15">
        <v>2</v>
      </c>
      <c r="D10" s="63">
        <v>8</v>
      </c>
      <c r="E10" s="63">
        <v>26400</v>
      </c>
      <c r="F10" s="6">
        <f>E10/D10*C10</f>
        <v>6600</v>
      </c>
    </row>
    <row r="11" spans="1:6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6" ht="17.399999999999999" x14ac:dyDescent="0.35">
      <c r="A12" s="61">
        <v>1</v>
      </c>
      <c r="B12" s="4" t="s">
        <v>15</v>
      </c>
      <c r="C12" s="63">
        <v>1</v>
      </c>
      <c r="D12" s="63">
        <v>8</v>
      </c>
      <c r="E12" s="63">
        <v>20000</v>
      </c>
      <c r="F12" s="6">
        <f>E12/D12*C12</f>
        <v>2500</v>
      </c>
    </row>
    <row r="13" spans="1:6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15700</v>
      </c>
    </row>
    <row r="14" spans="1:6" ht="17.399999999999999" x14ac:dyDescent="0.35">
      <c r="A14" s="1"/>
      <c r="B14" s="1"/>
      <c r="C14" s="2"/>
      <c r="D14" s="2"/>
      <c r="E14" s="2"/>
      <c r="F14" s="3"/>
    </row>
    <row r="15" spans="1:6" x14ac:dyDescent="0.3">
      <c r="A15" s="173"/>
      <c r="B15" s="174"/>
      <c r="C15" s="174"/>
      <c r="D15" s="174"/>
      <c r="E15" s="174"/>
      <c r="F15" s="174"/>
    </row>
    <row r="16" spans="1:6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2">
    <mergeCell ref="E23:F23"/>
    <mergeCell ref="A2:F3"/>
    <mergeCell ref="A4:F4"/>
    <mergeCell ref="A5:C5"/>
    <mergeCell ref="A7:E7"/>
    <mergeCell ref="A11:E11"/>
    <mergeCell ref="A13:E13"/>
    <mergeCell ref="A15:F15"/>
    <mergeCell ref="A17:E17"/>
    <mergeCell ref="E20:F20"/>
    <mergeCell ref="E21:F21"/>
    <mergeCell ref="E22:F22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3"/>
  <sheetViews>
    <sheetView workbookViewId="0">
      <selection activeCell="A15" sqref="A15:F15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6" ht="9" customHeight="1" x14ac:dyDescent="0.3"/>
    <row r="2" spans="1:6" ht="15" customHeight="1" x14ac:dyDescent="0.3">
      <c r="A2" s="159" t="s">
        <v>56</v>
      </c>
      <c r="B2" s="159"/>
      <c r="C2" s="159"/>
      <c r="D2" s="159"/>
      <c r="E2" s="159"/>
      <c r="F2" s="159"/>
    </row>
    <row r="3" spans="1:6" ht="24" customHeight="1" x14ac:dyDescent="0.3">
      <c r="A3" s="159"/>
      <c r="B3" s="159"/>
      <c r="C3" s="159"/>
      <c r="D3" s="159"/>
      <c r="E3" s="159"/>
      <c r="F3" s="159"/>
    </row>
    <row r="4" spans="1:6" ht="17.25" customHeight="1" x14ac:dyDescent="0.3">
      <c r="A4" s="160" t="s">
        <v>76</v>
      </c>
      <c r="B4" s="160"/>
      <c r="C4" s="160"/>
      <c r="D4" s="160"/>
      <c r="E4" s="160"/>
      <c r="F4" s="160"/>
    </row>
    <row r="5" spans="1:6" ht="17.399999999999999" x14ac:dyDescent="0.35">
      <c r="A5" s="67"/>
      <c r="B5" s="67"/>
      <c r="C5" s="67"/>
      <c r="D5" s="2"/>
      <c r="E5" s="2"/>
      <c r="F5" s="8">
        <v>45628</v>
      </c>
    </row>
    <row r="6" spans="1:6" ht="52.2" x14ac:dyDescent="0.35">
      <c r="A6" s="61" t="s">
        <v>3</v>
      </c>
      <c r="B6" s="61" t="s">
        <v>0</v>
      </c>
      <c r="C6" s="61" t="s">
        <v>5</v>
      </c>
      <c r="D6" s="61" t="s">
        <v>6</v>
      </c>
      <c r="E6" s="61" t="s">
        <v>1</v>
      </c>
      <c r="F6" s="13" t="s">
        <v>2</v>
      </c>
    </row>
    <row r="7" spans="1:6" ht="17.25" customHeight="1" x14ac:dyDescent="0.3">
      <c r="A7" s="161" t="s">
        <v>12</v>
      </c>
      <c r="B7" s="161"/>
      <c r="C7" s="161"/>
      <c r="D7" s="161"/>
      <c r="E7" s="161"/>
      <c r="F7" s="9"/>
    </row>
    <row r="8" spans="1:6" ht="17.399999999999999" x14ac:dyDescent="0.35">
      <c r="A8" s="61">
        <v>1</v>
      </c>
      <c r="B8" s="4" t="s">
        <v>8</v>
      </c>
      <c r="C8" s="63">
        <v>5</v>
      </c>
      <c r="D8" s="63">
        <v>8</v>
      </c>
      <c r="E8" s="63">
        <v>26400</v>
      </c>
      <c r="F8" s="6">
        <f>E8/D8*C8</f>
        <v>16500</v>
      </c>
    </row>
    <row r="9" spans="1:6" ht="17.399999999999999" x14ac:dyDescent="0.35">
      <c r="A9" s="61">
        <v>2</v>
      </c>
      <c r="B9" s="1" t="s">
        <v>21</v>
      </c>
      <c r="C9" s="62">
        <v>5</v>
      </c>
      <c r="D9" s="17">
        <v>8</v>
      </c>
      <c r="E9" s="17">
        <v>20000</v>
      </c>
      <c r="F9" s="6">
        <f>E9/D9*C9</f>
        <v>12500</v>
      </c>
    </row>
    <row r="10" spans="1:6" ht="17.399999999999999" x14ac:dyDescent="0.35">
      <c r="A10" s="14">
        <v>3</v>
      </c>
      <c r="B10" s="4" t="s">
        <v>20</v>
      </c>
      <c r="C10" s="15">
        <v>8</v>
      </c>
      <c r="D10" s="63">
        <v>8</v>
      </c>
      <c r="E10" s="63">
        <v>26400</v>
      </c>
      <c r="F10" s="6">
        <f>E10/D10*C10</f>
        <v>26400</v>
      </c>
    </row>
    <row r="11" spans="1:6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6" ht="17.399999999999999" x14ac:dyDescent="0.35">
      <c r="A12" s="61">
        <v>1</v>
      </c>
      <c r="B12" s="4" t="s">
        <v>15</v>
      </c>
      <c r="C12" s="63">
        <v>4</v>
      </c>
      <c r="D12" s="63">
        <v>8</v>
      </c>
      <c r="E12" s="63">
        <v>20000</v>
      </c>
      <c r="F12" s="6">
        <f>E12/D12*C12</f>
        <v>10000</v>
      </c>
    </row>
    <row r="13" spans="1:6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65400</v>
      </c>
    </row>
    <row r="14" spans="1:6" ht="17.399999999999999" x14ac:dyDescent="0.35">
      <c r="A14" s="1"/>
      <c r="B14" s="1"/>
      <c r="C14" s="2"/>
      <c r="D14" s="2"/>
      <c r="E14" s="2"/>
      <c r="F14" s="3"/>
    </row>
    <row r="15" spans="1:6" x14ac:dyDescent="0.3">
      <c r="A15" s="173"/>
      <c r="B15" s="174"/>
      <c r="C15" s="174"/>
      <c r="D15" s="174"/>
      <c r="E15" s="174"/>
      <c r="F15" s="174"/>
    </row>
    <row r="16" spans="1:6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E23:F23"/>
    <mergeCell ref="A2:F3"/>
    <mergeCell ref="A4:F4"/>
    <mergeCell ref="A7:E7"/>
    <mergeCell ref="A11:E11"/>
    <mergeCell ref="A13:E13"/>
    <mergeCell ref="A15:F15"/>
    <mergeCell ref="A17:E17"/>
    <mergeCell ref="E20:F20"/>
    <mergeCell ref="E21:F21"/>
    <mergeCell ref="E22:F2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3"/>
  <sheetViews>
    <sheetView workbookViewId="0">
      <selection sqref="A1:XFD1048576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6" ht="9" customHeight="1" x14ac:dyDescent="0.3"/>
    <row r="2" spans="1:6" ht="15" customHeight="1" x14ac:dyDescent="0.3">
      <c r="A2" s="159" t="s">
        <v>56</v>
      </c>
      <c r="B2" s="159"/>
      <c r="C2" s="159"/>
      <c r="D2" s="159"/>
      <c r="E2" s="159"/>
      <c r="F2" s="159"/>
    </row>
    <row r="3" spans="1:6" ht="24" customHeight="1" x14ac:dyDescent="0.3">
      <c r="A3" s="159"/>
      <c r="B3" s="159"/>
      <c r="C3" s="159"/>
      <c r="D3" s="159"/>
      <c r="E3" s="159"/>
      <c r="F3" s="159"/>
    </row>
    <row r="4" spans="1:6" ht="17.25" customHeight="1" x14ac:dyDescent="0.3">
      <c r="A4" s="160" t="s">
        <v>76</v>
      </c>
      <c r="B4" s="160"/>
      <c r="C4" s="160"/>
      <c r="D4" s="160"/>
      <c r="E4" s="160"/>
      <c r="F4" s="160"/>
    </row>
    <row r="5" spans="1:6" ht="17.399999999999999" x14ac:dyDescent="0.35">
      <c r="A5" s="67"/>
      <c r="B5" s="67"/>
      <c r="C5" s="67"/>
      <c r="D5" s="2"/>
      <c r="E5" s="2"/>
      <c r="F5" s="8">
        <v>45658</v>
      </c>
    </row>
    <row r="6" spans="1:6" ht="52.2" x14ac:dyDescent="0.35">
      <c r="A6" s="64" t="s">
        <v>3</v>
      </c>
      <c r="B6" s="64" t="s">
        <v>0</v>
      </c>
      <c r="C6" s="64" t="s">
        <v>5</v>
      </c>
      <c r="D6" s="64" t="s">
        <v>6</v>
      </c>
      <c r="E6" s="64" t="s">
        <v>1</v>
      </c>
      <c r="F6" s="13" t="s">
        <v>2</v>
      </c>
    </row>
    <row r="7" spans="1:6" ht="17.25" customHeight="1" x14ac:dyDescent="0.3">
      <c r="A7" s="161" t="s">
        <v>12</v>
      </c>
      <c r="B7" s="161"/>
      <c r="C7" s="161"/>
      <c r="D7" s="161"/>
      <c r="E7" s="161"/>
      <c r="F7" s="9"/>
    </row>
    <row r="8" spans="1:6" ht="17.399999999999999" x14ac:dyDescent="0.35">
      <c r="A8" s="64">
        <v>1</v>
      </c>
      <c r="B8" s="4" t="s">
        <v>8</v>
      </c>
      <c r="C8" s="66">
        <v>5</v>
      </c>
      <c r="D8" s="66">
        <v>8</v>
      </c>
      <c r="E8" s="66">
        <v>26400</v>
      </c>
      <c r="F8" s="6">
        <f>E8/D8*C8</f>
        <v>16500</v>
      </c>
    </row>
    <row r="9" spans="1:6" ht="17.399999999999999" x14ac:dyDescent="0.35">
      <c r="A9" s="64">
        <v>2</v>
      </c>
      <c r="B9" s="1" t="s">
        <v>21</v>
      </c>
      <c r="C9" s="65">
        <v>7</v>
      </c>
      <c r="D9" s="17">
        <v>8</v>
      </c>
      <c r="E9" s="17">
        <v>20000</v>
      </c>
      <c r="F9" s="6">
        <f>E9/D9*C9</f>
        <v>17500</v>
      </c>
    </row>
    <row r="10" spans="1:6" ht="17.399999999999999" x14ac:dyDescent="0.35">
      <c r="A10" s="14">
        <v>3</v>
      </c>
      <c r="B10" s="4" t="s">
        <v>20</v>
      </c>
      <c r="C10" s="15">
        <v>8</v>
      </c>
      <c r="D10" s="66">
        <v>8</v>
      </c>
      <c r="E10" s="66">
        <v>26400</v>
      </c>
      <c r="F10" s="6">
        <f>E10/D10*C10</f>
        <v>26400</v>
      </c>
    </row>
    <row r="11" spans="1:6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6" ht="17.399999999999999" x14ac:dyDescent="0.35">
      <c r="A12" s="64">
        <v>1</v>
      </c>
      <c r="B12" s="4" t="s">
        <v>15</v>
      </c>
      <c r="C12" s="66">
        <v>4</v>
      </c>
      <c r="D12" s="66">
        <v>8</v>
      </c>
      <c r="E12" s="66">
        <v>20000</v>
      </c>
      <c r="F12" s="6">
        <f>E12/D12*C12</f>
        <v>10000</v>
      </c>
    </row>
    <row r="13" spans="1:6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70400</v>
      </c>
    </row>
    <row r="14" spans="1:6" ht="17.399999999999999" x14ac:dyDescent="0.35">
      <c r="A14" s="1"/>
      <c r="B14" s="1"/>
      <c r="C14" s="2"/>
      <c r="D14" s="2"/>
      <c r="E14" s="2"/>
      <c r="F14" s="3"/>
    </row>
    <row r="15" spans="1:6" x14ac:dyDescent="0.3">
      <c r="A15" s="173"/>
      <c r="B15" s="174"/>
      <c r="C15" s="174"/>
      <c r="D15" s="174"/>
      <c r="E15" s="174"/>
      <c r="F15" s="174"/>
    </row>
    <row r="16" spans="1:6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5:F15"/>
    <mergeCell ref="A2:F3"/>
    <mergeCell ref="A4:F4"/>
    <mergeCell ref="A7:E7"/>
    <mergeCell ref="A11:E11"/>
    <mergeCell ref="A13:E13"/>
    <mergeCell ref="A17:E17"/>
    <mergeCell ref="E20:F20"/>
    <mergeCell ref="E21:F21"/>
    <mergeCell ref="E22:F22"/>
    <mergeCell ref="E23:F23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3"/>
  <sheetViews>
    <sheetView workbookViewId="0">
      <selection activeCell="K7" sqref="K7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6" ht="9" customHeight="1" x14ac:dyDescent="0.3"/>
    <row r="2" spans="1:6" ht="15" customHeight="1" x14ac:dyDescent="0.3">
      <c r="A2" s="159" t="s">
        <v>56</v>
      </c>
      <c r="B2" s="159"/>
      <c r="C2" s="159"/>
      <c r="D2" s="159"/>
      <c r="E2" s="159"/>
      <c r="F2" s="159"/>
    </row>
    <row r="3" spans="1:6" ht="24" customHeight="1" x14ac:dyDescent="0.3">
      <c r="A3" s="159"/>
      <c r="B3" s="159"/>
      <c r="C3" s="159"/>
      <c r="D3" s="159"/>
      <c r="E3" s="159"/>
      <c r="F3" s="159"/>
    </row>
    <row r="4" spans="1:6" ht="17.25" customHeight="1" x14ac:dyDescent="0.3">
      <c r="A4" s="160" t="s">
        <v>76</v>
      </c>
      <c r="B4" s="160"/>
      <c r="C4" s="160"/>
      <c r="D4" s="160"/>
      <c r="E4" s="160"/>
      <c r="F4" s="160"/>
    </row>
    <row r="5" spans="1:6" ht="17.399999999999999" x14ac:dyDescent="0.35">
      <c r="A5" s="67"/>
      <c r="B5" s="67"/>
      <c r="C5" s="67"/>
      <c r="D5" s="2"/>
      <c r="E5" s="2"/>
      <c r="F5" s="8">
        <v>45689</v>
      </c>
    </row>
    <row r="6" spans="1:6" ht="52.2" x14ac:dyDescent="0.35">
      <c r="A6" s="68" t="s">
        <v>3</v>
      </c>
      <c r="B6" s="68" t="s">
        <v>0</v>
      </c>
      <c r="C6" s="68" t="s">
        <v>5</v>
      </c>
      <c r="D6" s="68" t="s">
        <v>6</v>
      </c>
      <c r="E6" s="68" t="s">
        <v>1</v>
      </c>
      <c r="F6" s="13" t="s">
        <v>2</v>
      </c>
    </row>
    <row r="7" spans="1:6" ht="17.25" customHeight="1" x14ac:dyDescent="0.3">
      <c r="A7" s="161" t="s">
        <v>12</v>
      </c>
      <c r="B7" s="161"/>
      <c r="C7" s="161"/>
      <c r="D7" s="161"/>
      <c r="E7" s="161"/>
      <c r="F7" s="9"/>
    </row>
    <row r="8" spans="1:6" ht="17.399999999999999" x14ac:dyDescent="0.35">
      <c r="A8" s="68">
        <v>1</v>
      </c>
      <c r="B8" s="4" t="s">
        <v>8</v>
      </c>
      <c r="C8" s="70">
        <v>7</v>
      </c>
      <c r="D8" s="70">
        <v>8</v>
      </c>
      <c r="E8" s="70">
        <v>26400</v>
      </c>
      <c r="F8" s="6">
        <f>E8/D8*C8</f>
        <v>23100</v>
      </c>
    </row>
    <row r="9" spans="1:6" ht="17.399999999999999" x14ac:dyDescent="0.35">
      <c r="A9" s="68">
        <v>2</v>
      </c>
      <c r="B9" s="1" t="s">
        <v>21</v>
      </c>
      <c r="C9" s="69">
        <v>6</v>
      </c>
      <c r="D9" s="17">
        <v>8</v>
      </c>
      <c r="E9" s="17">
        <v>20000</v>
      </c>
      <c r="F9" s="6">
        <f>E9/D9*C9</f>
        <v>15000</v>
      </c>
    </row>
    <row r="10" spans="1:6" ht="17.399999999999999" x14ac:dyDescent="0.35">
      <c r="A10" s="14">
        <v>3</v>
      </c>
      <c r="B10" s="4" t="s">
        <v>20</v>
      </c>
      <c r="C10" s="15">
        <v>8</v>
      </c>
      <c r="D10" s="70">
        <v>8</v>
      </c>
      <c r="E10" s="70">
        <v>26400</v>
      </c>
      <c r="F10" s="6">
        <f>E10/D10*C10</f>
        <v>26400</v>
      </c>
    </row>
    <row r="11" spans="1:6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6" ht="17.399999999999999" x14ac:dyDescent="0.35">
      <c r="A12" s="68">
        <v>1</v>
      </c>
      <c r="B12" s="4" t="s">
        <v>15</v>
      </c>
      <c r="C12" s="70">
        <v>6</v>
      </c>
      <c r="D12" s="70">
        <v>8</v>
      </c>
      <c r="E12" s="70">
        <v>20000</v>
      </c>
      <c r="F12" s="6">
        <f>E12/D12*C12</f>
        <v>15000</v>
      </c>
    </row>
    <row r="13" spans="1:6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79500</v>
      </c>
    </row>
    <row r="14" spans="1:6" ht="17.399999999999999" x14ac:dyDescent="0.35">
      <c r="A14" s="1"/>
      <c r="B14" s="1"/>
      <c r="C14" s="2"/>
      <c r="D14" s="2"/>
      <c r="E14" s="2"/>
      <c r="F14" s="3"/>
    </row>
    <row r="15" spans="1:6" x14ac:dyDescent="0.3">
      <c r="A15" s="173"/>
      <c r="B15" s="174"/>
      <c r="C15" s="174"/>
      <c r="D15" s="174"/>
      <c r="E15" s="174"/>
      <c r="F15" s="174"/>
    </row>
    <row r="16" spans="1:6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7:E17"/>
    <mergeCell ref="E20:F20"/>
    <mergeCell ref="E21:F21"/>
    <mergeCell ref="E22:F22"/>
    <mergeCell ref="E23:F23"/>
    <mergeCell ref="A15:F15"/>
    <mergeCell ref="A2:F3"/>
    <mergeCell ref="A4:F4"/>
    <mergeCell ref="A7:E7"/>
    <mergeCell ref="A11:E11"/>
    <mergeCell ref="A13:E13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3"/>
  <sheetViews>
    <sheetView workbookViewId="0">
      <selection activeCell="C9" sqref="C9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9" ht="9" customHeight="1" x14ac:dyDescent="0.3"/>
    <row r="2" spans="1:9" ht="15" customHeight="1" x14ac:dyDescent="0.3">
      <c r="A2" s="159" t="s">
        <v>56</v>
      </c>
      <c r="B2" s="159"/>
      <c r="C2" s="159"/>
      <c r="D2" s="159"/>
      <c r="E2" s="159"/>
      <c r="F2" s="159"/>
    </row>
    <row r="3" spans="1:9" ht="24" customHeight="1" x14ac:dyDescent="0.3">
      <c r="A3" s="159"/>
      <c r="B3" s="159"/>
      <c r="C3" s="159"/>
      <c r="D3" s="159"/>
      <c r="E3" s="159"/>
      <c r="F3" s="159"/>
    </row>
    <row r="4" spans="1:9" ht="17.25" customHeight="1" x14ac:dyDescent="0.3">
      <c r="A4" s="160" t="s">
        <v>76</v>
      </c>
      <c r="B4" s="160"/>
      <c r="C4" s="160"/>
      <c r="D4" s="160"/>
      <c r="E4" s="160"/>
      <c r="F4" s="160"/>
    </row>
    <row r="5" spans="1:9" ht="17.399999999999999" x14ac:dyDescent="0.35">
      <c r="A5" s="67"/>
      <c r="B5" s="67"/>
      <c r="C5" s="67"/>
      <c r="D5" s="2"/>
      <c r="E5" s="2"/>
      <c r="F5" s="8">
        <v>45719</v>
      </c>
    </row>
    <row r="6" spans="1:9" ht="52.2" x14ac:dyDescent="0.35">
      <c r="A6" s="71" t="s">
        <v>3</v>
      </c>
      <c r="B6" s="71" t="s">
        <v>0</v>
      </c>
      <c r="C6" s="71" t="s">
        <v>5</v>
      </c>
      <c r="D6" s="71" t="s">
        <v>6</v>
      </c>
      <c r="E6" s="71" t="s">
        <v>1</v>
      </c>
      <c r="F6" s="13" t="s">
        <v>2</v>
      </c>
    </row>
    <row r="7" spans="1:9" ht="17.25" customHeight="1" x14ac:dyDescent="0.3">
      <c r="A7" s="161" t="s">
        <v>12</v>
      </c>
      <c r="B7" s="161"/>
      <c r="C7" s="161"/>
      <c r="D7" s="161"/>
      <c r="E7" s="161"/>
      <c r="F7" s="9"/>
    </row>
    <row r="8" spans="1:9" ht="17.399999999999999" x14ac:dyDescent="0.35">
      <c r="A8" s="71">
        <v>1</v>
      </c>
      <c r="B8" s="4" t="s">
        <v>8</v>
      </c>
      <c r="C8" s="73">
        <v>6</v>
      </c>
      <c r="D8" s="73">
        <v>8</v>
      </c>
      <c r="E8" s="73">
        <v>26400</v>
      </c>
      <c r="F8" s="6">
        <f>E8/D8*C8</f>
        <v>19800</v>
      </c>
      <c r="I8">
        <f>26400/8</f>
        <v>3300</v>
      </c>
    </row>
    <row r="9" spans="1:9" ht="17.399999999999999" x14ac:dyDescent="0.35">
      <c r="A9" s="71">
        <v>2</v>
      </c>
      <c r="B9" s="1" t="s">
        <v>21</v>
      </c>
      <c r="C9" s="72">
        <v>3</v>
      </c>
      <c r="D9" s="17">
        <v>8</v>
      </c>
      <c r="E9" s="17">
        <v>20000</v>
      </c>
      <c r="F9" s="6">
        <f>E9/D9*C9</f>
        <v>7500</v>
      </c>
    </row>
    <row r="10" spans="1:9" ht="17.399999999999999" x14ac:dyDescent="0.35">
      <c r="A10" s="14">
        <v>3</v>
      </c>
      <c r="B10" s="4" t="s">
        <v>20</v>
      </c>
      <c r="C10" s="15">
        <v>8</v>
      </c>
      <c r="D10" s="73">
        <v>8</v>
      </c>
      <c r="E10" s="73">
        <v>26400</v>
      </c>
      <c r="F10" s="6">
        <f>E10/D10*C10</f>
        <v>26400</v>
      </c>
    </row>
    <row r="11" spans="1:9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9" ht="17.399999999999999" x14ac:dyDescent="0.35">
      <c r="A12" s="71">
        <v>1</v>
      </c>
      <c r="B12" s="4" t="s">
        <v>15</v>
      </c>
      <c r="C12" s="73">
        <v>7</v>
      </c>
      <c r="D12" s="73">
        <v>8</v>
      </c>
      <c r="E12" s="73">
        <v>20000</v>
      </c>
      <c r="F12" s="6">
        <f>E12/D12*C12</f>
        <v>17500</v>
      </c>
    </row>
    <row r="13" spans="1:9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71200</v>
      </c>
    </row>
    <row r="14" spans="1:9" ht="17.399999999999999" x14ac:dyDescent="0.35">
      <c r="A14" s="1"/>
      <c r="B14" s="1"/>
      <c r="C14" s="2"/>
      <c r="D14" s="2"/>
      <c r="E14" s="2"/>
      <c r="F14" s="3"/>
    </row>
    <row r="15" spans="1:9" x14ac:dyDescent="0.3">
      <c r="A15" s="173"/>
      <c r="B15" s="174"/>
      <c r="C15" s="174"/>
      <c r="D15" s="174"/>
      <c r="E15" s="174"/>
      <c r="F15" s="174"/>
    </row>
    <row r="16" spans="1:9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5:F15"/>
    <mergeCell ref="A2:F3"/>
    <mergeCell ref="A4:F4"/>
    <mergeCell ref="A7:E7"/>
    <mergeCell ref="A11:E11"/>
    <mergeCell ref="A13:E13"/>
    <mergeCell ref="A17:E17"/>
    <mergeCell ref="E20:F20"/>
    <mergeCell ref="E21:F21"/>
    <mergeCell ref="E22:F22"/>
    <mergeCell ref="E23:F23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3"/>
  <sheetViews>
    <sheetView workbookViewId="0">
      <selection activeCell="C10" sqref="C10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9" ht="9" customHeight="1" x14ac:dyDescent="0.3"/>
    <row r="2" spans="1:9" ht="15" customHeight="1" x14ac:dyDescent="0.3">
      <c r="A2" s="159" t="s">
        <v>56</v>
      </c>
      <c r="B2" s="159"/>
      <c r="C2" s="159"/>
      <c r="D2" s="159"/>
      <c r="E2" s="159"/>
      <c r="F2" s="159"/>
    </row>
    <row r="3" spans="1:9" ht="24" customHeight="1" x14ac:dyDescent="0.3">
      <c r="A3" s="159"/>
      <c r="B3" s="159"/>
      <c r="C3" s="159"/>
      <c r="D3" s="159"/>
      <c r="E3" s="159"/>
      <c r="F3" s="159"/>
    </row>
    <row r="4" spans="1:9" ht="17.25" customHeight="1" x14ac:dyDescent="0.3">
      <c r="A4" s="160" t="s">
        <v>76</v>
      </c>
      <c r="B4" s="160"/>
      <c r="C4" s="160"/>
      <c r="D4" s="160"/>
      <c r="E4" s="160"/>
      <c r="F4" s="160"/>
    </row>
    <row r="5" spans="1:9" ht="17.399999999999999" x14ac:dyDescent="0.35">
      <c r="A5" s="67"/>
      <c r="B5" s="67"/>
      <c r="C5" s="67"/>
      <c r="D5" s="2"/>
      <c r="E5" s="2"/>
      <c r="F5" s="8">
        <v>45743</v>
      </c>
    </row>
    <row r="6" spans="1:9" ht="52.2" x14ac:dyDescent="0.35">
      <c r="A6" s="74" t="s">
        <v>3</v>
      </c>
      <c r="B6" s="74" t="s">
        <v>0</v>
      </c>
      <c r="C6" s="74" t="s">
        <v>5</v>
      </c>
      <c r="D6" s="74" t="s">
        <v>6</v>
      </c>
      <c r="E6" s="74" t="s">
        <v>1</v>
      </c>
      <c r="F6" s="13" t="s">
        <v>2</v>
      </c>
    </row>
    <row r="7" spans="1:9" ht="17.25" customHeight="1" x14ac:dyDescent="0.3">
      <c r="A7" s="161" t="s">
        <v>12</v>
      </c>
      <c r="B7" s="161"/>
      <c r="C7" s="161"/>
      <c r="D7" s="161"/>
      <c r="E7" s="161"/>
      <c r="F7" s="9"/>
    </row>
    <row r="8" spans="1:9" ht="17.399999999999999" x14ac:dyDescent="0.35">
      <c r="A8" s="74">
        <v>1</v>
      </c>
      <c r="B8" s="4" t="s">
        <v>8</v>
      </c>
      <c r="C8" s="76">
        <v>1</v>
      </c>
      <c r="D8" s="76">
        <v>8</v>
      </c>
      <c r="E8" s="76">
        <v>26400</v>
      </c>
      <c r="F8" s="6">
        <f>E8/D8*C8</f>
        <v>3300</v>
      </c>
      <c r="I8">
        <f>26400/8</f>
        <v>3300</v>
      </c>
    </row>
    <row r="9" spans="1:9" ht="17.399999999999999" x14ac:dyDescent="0.35">
      <c r="A9" s="74">
        <v>2</v>
      </c>
      <c r="B9" s="1" t="s">
        <v>21</v>
      </c>
      <c r="C9" s="75">
        <v>8</v>
      </c>
      <c r="D9" s="17">
        <v>8</v>
      </c>
      <c r="E9" s="17">
        <v>20000</v>
      </c>
      <c r="F9" s="6">
        <f>E9/D9*C9</f>
        <v>20000</v>
      </c>
    </row>
    <row r="10" spans="1:9" ht="17.399999999999999" x14ac:dyDescent="0.35">
      <c r="A10" s="14">
        <v>3</v>
      </c>
      <c r="B10" s="4" t="s">
        <v>20</v>
      </c>
      <c r="C10" s="15">
        <v>8</v>
      </c>
      <c r="D10" s="76">
        <v>8</v>
      </c>
      <c r="E10" s="76">
        <v>26400</v>
      </c>
      <c r="F10" s="6">
        <f>E10/D10*C10</f>
        <v>26400</v>
      </c>
    </row>
    <row r="11" spans="1:9" ht="17.25" customHeight="1" x14ac:dyDescent="0.3">
      <c r="A11" s="182" t="s">
        <v>57</v>
      </c>
      <c r="B11" s="183"/>
      <c r="C11" s="183"/>
      <c r="D11" s="183"/>
      <c r="E11" s="184"/>
      <c r="F11" s="9"/>
    </row>
    <row r="12" spans="1:9" ht="17.399999999999999" x14ac:dyDescent="0.35">
      <c r="A12" s="74">
        <v>1</v>
      </c>
      <c r="B12" s="4" t="s">
        <v>15</v>
      </c>
      <c r="C12" s="76">
        <v>0</v>
      </c>
      <c r="D12" s="76">
        <v>8</v>
      </c>
      <c r="E12" s="76">
        <v>20000</v>
      </c>
      <c r="F12" s="6">
        <f>E12/D12*C12</f>
        <v>0</v>
      </c>
    </row>
    <row r="13" spans="1:9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49700</v>
      </c>
    </row>
    <row r="14" spans="1:9" ht="17.399999999999999" x14ac:dyDescent="0.35">
      <c r="A14" s="1"/>
      <c r="B14" s="1"/>
      <c r="C14" s="2"/>
      <c r="D14" s="2"/>
      <c r="E14" s="2"/>
      <c r="F14" s="3"/>
    </row>
    <row r="15" spans="1:9" x14ac:dyDescent="0.3">
      <c r="A15" s="173"/>
      <c r="B15" s="174"/>
      <c r="C15" s="174"/>
      <c r="D15" s="174"/>
      <c r="E15" s="174"/>
      <c r="F15" s="174"/>
    </row>
    <row r="16" spans="1:9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5:F15"/>
    <mergeCell ref="A2:F3"/>
    <mergeCell ref="A4:F4"/>
    <mergeCell ref="A7:E7"/>
    <mergeCell ref="A11:E11"/>
    <mergeCell ref="A13:E13"/>
    <mergeCell ref="A17:E17"/>
    <mergeCell ref="E20:F20"/>
    <mergeCell ref="E21:F21"/>
    <mergeCell ref="E22:F22"/>
    <mergeCell ref="E23:F23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23"/>
  <sheetViews>
    <sheetView workbookViewId="0">
      <selection activeCell="F10" sqref="F10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9" ht="9" customHeight="1" x14ac:dyDescent="0.3"/>
    <row r="2" spans="1:9" ht="15" customHeight="1" x14ac:dyDescent="0.3">
      <c r="A2" s="159" t="s">
        <v>56</v>
      </c>
      <c r="B2" s="159"/>
      <c r="C2" s="159"/>
      <c r="D2" s="159"/>
      <c r="E2" s="159"/>
      <c r="F2" s="159"/>
    </row>
    <row r="3" spans="1:9" ht="24" customHeight="1" x14ac:dyDescent="0.3">
      <c r="A3" s="159"/>
      <c r="B3" s="159"/>
      <c r="C3" s="159"/>
      <c r="D3" s="159"/>
      <c r="E3" s="159"/>
      <c r="F3" s="159"/>
    </row>
    <row r="4" spans="1:9" ht="17.25" customHeight="1" x14ac:dyDescent="0.3">
      <c r="A4" s="160" t="s">
        <v>76</v>
      </c>
      <c r="B4" s="160"/>
      <c r="C4" s="160"/>
      <c r="D4" s="160"/>
      <c r="E4" s="160"/>
      <c r="F4" s="160"/>
    </row>
    <row r="5" spans="1:9" ht="17.399999999999999" x14ac:dyDescent="0.35">
      <c r="A5" s="67"/>
      <c r="B5" s="67"/>
      <c r="C5" s="67"/>
      <c r="D5" s="2"/>
      <c r="E5" s="2"/>
      <c r="F5" s="8">
        <v>45777</v>
      </c>
    </row>
    <row r="6" spans="1:9" ht="52.2" x14ac:dyDescent="0.35">
      <c r="A6" s="77" t="s">
        <v>3</v>
      </c>
      <c r="B6" s="77" t="s">
        <v>0</v>
      </c>
      <c r="C6" s="77" t="s">
        <v>5</v>
      </c>
      <c r="D6" s="77" t="s">
        <v>6</v>
      </c>
      <c r="E6" s="77" t="s">
        <v>1</v>
      </c>
      <c r="F6" s="13" t="s">
        <v>2</v>
      </c>
    </row>
    <row r="7" spans="1:9" ht="17.25" customHeight="1" x14ac:dyDescent="0.3">
      <c r="A7" s="161" t="s">
        <v>12</v>
      </c>
      <c r="B7" s="161"/>
      <c r="C7" s="161"/>
      <c r="D7" s="161"/>
      <c r="E7" s="161"/>
      <c r="F7" s="9"/>
    </row>
    <row r="8" spans="1:9" ht="17.399999999999999" hidden="1" x14ac:dyDescent="0.35">
      <c r="A8" s="77">
        <v>1</v>
      </c>
      <c r="B8" s="4" t="s">
        <v>8</v>
      </c>
      <c r="C8" s="79">
        <v>0</v>
      </c>
      <c r="D8" s="79">
        <v>8</v>
      </c>
      <c r="E8" s="79">
        <v>26400</v>
      </c>
      <c r="F8" s="6">
        <f>E8/D8*C8</f>
        <v>0</v>
      </c>
      <c r="I8">
        <f>26400/8</f>
        <v>3300</v>
      </c>
    </row>
    <row r="9" spans="1:9" ht="17.399999999999999" x14ac:dyDescent="0.35">
      <c r="A9" s="43">
        <v>1</v>
      </c>
      <c r="B9" s="1" t="s">
        <v>21</v>
      </c>
      <c r="C9" s="78">
        <v>8</v>
      </c>
      <c r="D9" s="17">
        <v>8</v>
      </c>
      <c r="E9" s="17">
        <v>20000</v>
      </c>
      <c r="F9" s="6">
        <f>E9/D9*C9</f>
        <v>20000</v>
      </c>
    </row>
    <row r="10" spans="1:9" ht="17.399999999999999" x14ac:dyDescent="0.35">
      <c r="A10" s="44">
        <v>2</v>
      </c>
      <c r="B10" s="4" t="s">
        <v>20</v>
      </c>
      <c r="C10" s="15">
        <v>9</v>
      </c>
      <c r="D10" s="79">
        <v>8</v>
      </c>
      <c r="E10" s="79">
        <v>26400</v>
      </c>
      <c r="F10" s="6">
        <f>E10/D10*C10</f>
        <v>29700</v>
      </c>
    </row>
    <row r="11" spans="1:9" ht="17.25" hidden="1" customHeight="1" x14ac:dyDescent="0.3">
      <c r="A11" s="182" t="s">
        <v>57</v>
      </c>
      <c r="B11" s="183"/>
      <c r="C11" s="183"/>
      <c r="D11" s="183"/>
      <c r="E11" s="184"/>
      <c r="F11" s="9"/>
    </row>
    <row r="12" spans="1:9" ht="17.399999999999999" hidden="1" x14ac:dyDescent="0.35">
      <c r="A12" s="77">
        <v>1</v>
      </c>
      <c r="B12" s="4" t="s">
        <v>15</v>
      </c>
      <c r="C12" s="79">
        <v>0</v>
      </c>
      <c r="D12" s="79">
        <v>8</v>
      </c>
      <c r="E12" s="79">
        <v>20000</v>
      </c>
      <c r="F12" s="6">
        <f>E12/D12*C12</f>
        <v>0</v>
      </c>
    </row>
    <row r="13" spans="1:9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49700</v>
      </c>
    </row>
    <row r="14" spans="1:9" ht="17.399999999999999" x14ac:dyDescent="0.35">
      <c r="A14" s="1"/>
      <c r="B14" s="1"/>
      <c r="C14" s="2"/>
      <c r="D14" s="2"/>
      <c r="E14" s="2"/>
      <c r="F14" s="3"/>
    </row>
    <row r="15" spans="1:9" x14ac:dyDescent="0.3">
      <c r="A15" s="173"/>
      <c r="B15" s="174"/>
      <c r="C15" s="174"/>
      <c r="D15" s="174"/>
      <c r="E15" s="174"/>
      <c r="F15" s="174"/>
    </row>
    <row r="16" spans="1:9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7:E17"/>
    <mergeCell ref="E20:F20"/>
    <mergeCell ref="E21:F21"/>
    <mergeCell ref="E22:F22"/>
    <mergeCell ref="E23:F23"/>
    <mergeCell ref="A15:F15"/>
    <mergeCell ref="A2:F3"/>
    <mergeCell ref="A4:F4"/>
    <mergeCell ref="A7:E7"/>
    <mergeCell ref="A11:E11"/>
    <mergeCell ref="A13:E13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23"/>
  <sheetViews>
    <sheetView workbookViewId="0">
      <selection activeCell="G10" sqref="G10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9" ht="9" customHeight="1" x14ac:dyDescent="0.3"/>
    <row r="2" spans="1:9" ht="15" customHeight="1" x14ac:dyDescent="0.3">
      <c r="A2" s="159" t="s">
        <v>56</v>
      </c>
      <c r="B2" s="159"/>
      <c r="C2" s="159"/>
      <c r="D2" s="159"/>
      <c r="E2" s="159"/>
      <c r="F2" s="159"/>
    </row>
    <row r="3" spans="1:9" ht="24" customHeight="1" x14ac:dyDescent="0.3">
      <c r="A3" s="159"/>
      <c r="B3" s="159"/>
      <c r="C3" s="159"/>
      <c r="D3" s="159"/>
      <c r="E3" s="159"/>
      <c r="F3" s="159"/>
    </row>
    <row r="4" spans="1:9" ht="17.25" customHeight="1" x14ac:dyDescent="0.3">
      <c r="A4" s="160" t="s">
        <v>76</v>
      </c>
      <c r="B4" s="160"/>
      <c r="C4" s="160"/>
      <c r="D4" s="160"/>
      <c r="E4" s="160"/>
      <c r="F4" s="160"/>
    </row>
    <row r="5" spans="1:9" ht="17.399999999999999" x14ac:dyDescent="0.35">
      <c r="A5" s="67"/>
      <c r="B5" s="67"/>
      <c r="C5" s="67"/>
      <c r="D5" s="2"/>
      <c r="E5" s="2"/>
      <c r="F5" s="8">
        <v>45808</v>
      </c>
    </row>
    <row r="6" spans="1:9" ht="52.2" x14ac:dyDescent="0.35">
      <c r="A6" s="80" t="s">
        <v>3</v>
      </c>
      <c r="B6" s="80" t="s">
        <v>0</v>
      </c>
      <c r="C6" s="80" t="s">
        <v>5</v>
      </c>
      <c r="D6" s="80" t="s">
        <v>6</v>
      </c>
      <c r="E6" s="80" t="s">
        <v>1</v>
      </c>
      <c r="F6" s="13" t="s">
        <v>2</v>
      </c>
    </row>
    <row r="7" spans="1:9" ht="17.25" customHeight="1" x14ac:dyDescent="0.3">
      <c r="A7" s="161" t="s">
        <v>12</v>
      </c>
      <c r="B7" s="161"/>
      <c r="C7" s="161"/>
      <c r="D7" s="161"/>
      <c r="E7" s="161"/>
      <c r="F7" s="9"/>
    </row>
    <row r="8" spans="1:9" ht="17.399999999999999" hidden="1" x14ac:dyDescent="0.35">
      <c r="A8" s="80">
        <v>1</v>
      </c>
      <c r="B8" s="4" t="s">
        <v>8</v>
      </c>
      <c r="C8" s="82">
        <v>0</v>
      </c>
      <c r="D8" s="82">
        <v>8</v>
      </c>
      <c r="E8" s="82">
        <v>26400</v>
      </c>
      <c r="F8" s="6">
        <f>E8/D8*C8</f>
        <v>0</v>
      </c>
      <c r="I8">
        <f>26400/8</f>
        <v>3300</v>
      </c>
    </row>
    <row r="9" spans="1:9" ht="17.399999999999999" x14ac:dyDescent="0.35">
      <c r="A9" s="43">
        <v>1</v>
      </c>
      <c r="B9" s="1" t="s">
        <v>21</v>
      </c>
      <c r="C9" s="81">
        <v>5</v>
      </c>
      <c r="D9" s="17">
        <v>8</v>
      </c>
      <c r="E9" s="17">
        <v>20000</v>
      </c>
      <c r="F9" s="6">
        <f>E9/D9*C9</f>
        <v>12500</v>
      </c>
    </row>
    <row r="10" spans="1:9" ht="17.399999999999999" x14ac:dyDescent="0.35">
      <c r="A10" s="44">
        <v>2</v>
      </c>
      <c r="B10" s="4" t="s">
        <v>20</v>
      </c>
      <c r="C10" s="15">
        <v>8</v>
      </c>
      <c r="D10" s="82">
        <v>8</v>
      </c>
      <c r="E10" s="82">
        <v>26400</v>
      </c>
      <c r="F10" s="6">
        <f>E10/D10*C10</f>
        <v>26400</v>
      </c>
    </row>
    <row r="11" spans="1:9" ht="17.25" hidden="1" customHeight="1" x14ac:dyDescent="0.3">
      <c r="A11" s="182" t="s">
        <v>57</v>
      </c>
      <c r="B11" s="183"/>
      <c r="C11" s="183"/>
      <c r="D11" s="183"/>
      <c r="E11" s="184"/>
      <c r="F11" s="9"/>
    </row>
    <row r="12" spans="1:9" ht="17.399999999999999" hidden="1" x14ac:dyDescent="0.35">
      <c r="A12" s="80">
        <v>1</v>
      </c>
      <c r="B12" s="4" t="s">
        <v>15</v>
      </c>
      <c r="C12" s="82">
        <v>0</v>
      </c>
      <c r="D12" s="82">
        <v>8</v>
      </c>
      <c r="E12" s="82">
        <v>20000</v>
      </c>
      <c r="F12" s="6">
        <f>E12/D12*C12</f>
        <v>0</v>
      </c>
    </row>
    <row r="13" spans="1:9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38900</v>
      </c>
    </row>
    <row r="14" spans="1:9" ht="17.399999999999999" x14ac:dyDescent="0.35">
      <c r="A14" s="1"/>
      <c r="B14" s="1"/>
      <c r="C14" s="2"/>
      <c r="D14" s="2"/>
      <c r="E14" s="2"/>
      <c r="F14" s="3"/>
    </row>
    <row r="15" spans="1:9" x14ac:dyDescent="0.3">
      <c r="A15" s="173"/>
      <c r="B15" s="174"/>
      <c r="C15" s="174"/>
      <c r="D15" s="174"/>
      <c r="E15" s="174"/>
      <c r="F15" s="174"/>
    </row>
    <row r="16" spans="1:9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5:F15"/>
    <mergeCell ref="A2:F3"/>
    <mergeCell ref="A4:F4"/>
    <mergeCell ref="A7:E7"/>
    <mergeCell ref="A11:E11"/>
    <mergeCell ref="A13:E13"/>
    <mergeCell ref="A17:E17"/>
    <mergeCell ref="E20:F20"/>
    <mergeCell ref="E21:F21"/>
    <mergeCell ref="E22:F22"/>
    <mergeCell ref="E23:F23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23"/>
  <sheetViews>
    <sheetView topLeftCell="A4" workbookViewId="0">
      <selection activeCell="F9" sqref="F9:F10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9" ht="9" customHeight="1" x14ac:dyDescent="0.3"/>
    <row r="2" spans="1:9" ht="15" customHeight="1" x14ac:dyDescent="0.3">
      <c r="A2" s="159" t="s">
        <v>56</v>
      </c>
      <c r="B2" s="159"/>
      <c r="C2" s="159"/>
      <c r="D2" s="159"/>
      <c r="E2" s="159"/>
      <c r="F2" s="159"/>
    </row>
    <row r="3" spans="1:9" ht="24" customHeight="1" x14ac:dyDescent="0.3">
      <c r="A3" s="159"/>
      <c r="B3" s="159"/>
      <c r="C3" s="159"/>
      <c r="D3" s="159"/>
      <c r="E3" s="159"/>
      <c r="F3" s="159"/>
    </row>
    <row r="4" spans="1:9" ht="17.25" customHeight="1" x14ac:dyDescent="0.3">
      <c r="A4" s="160" t="s">
        <v>76</v>
      </c>
      <c r="B4" s="160"/>
      <c r="C4" s="160"/>
      <c r="D4" s="160"/>
      <c r="E4" s="160"/>
      <c r="F4" s="160"/>
    </row>
    <row r="5" spans="1:9" ht="17.399999999999999" x14ac:dyDescent="0.35">
      <c r="A5" s="67"/>
      <c r="B5" s="67"/>
      <c r="C5" s="67"/>
      <c r="D5" s="2"/>
      <c r="E5" s="2"/>
      <c r="F5" s="8">
        <v>45838</v>
      </c>
    </row>
    <row r="6" spans="1:9" ht="52.2" x14ac:dyDescent="0.35">
      <c r="A6" s="83" t="s">
        <v>3</v>
      </c>
      <c r="B6" s="83" t="s">
        <v>0</v>
      </c>
      <c r="C6" s="83" t="s">
        <v>5</v>
      </c>
      <c r="D6" s="83" t="s">
        <v>6</v>
      </c>
      <c r="E6" s="83" t="s">
        <v>1</v>
      </c>
      <c r="F6" s="13" t="s">
        <v>2</v>
      </c>
    </row>
    <row r="7" spans="1:9" ht="17.25" customHeight="1" x14ac:dyDescent="0.3">
      <c r="A7" s="161" t="s">
        <v>12</v>
      </c>
      <c r="B7" s="161"/>
      <c r="C7" s="161"/>
      <c r="D7" s="161"/>
      <c r="E7" s="161"/>
      <c r="F7" s="9"/>
    </row>
    <row r="8" spans="1:9" ht="17.399999999999999" hidden="1" x14ac:dyDescent="0.35">
      <c r="A8" s="83">
        <v>1</v>
      </c>
      <c r="B8" s="4" t="s">
        <v>8</v>
      </c>
      <c r="C8" s="85">
        <v>0</v>
      </c>
      <c r="D8" s="85">
        <v>8</v>
      </c>
      <c r="E8" s="85">
        <v>26400</v>
      </c>
      <c r="F8" s="6">
        <f>E8/D8*C8</f>
        <v>0</v>
      </c>
      <c r="I8">
        <f>26400/8</f>
        <v>3300</v>
      </c>
    </row>
    <row r="9" spans="1:9" ht="17.399999999999999" x14ac:dyDescent="0.35">
      <c r="A9" s="43">
        <v>1</v>
      </c>
      <c r="B9" s="1" t="s">
        <v>21</v>
      </c>
      <c r="C9" s="84">
        <v>7</v>
      </c>
      <c r="D9" s="17">
        <v>8</v>
      </c>
      <c r="E9" s="17">
        <v>20000</v>
      </c>
      <c r="F9" s="6">
        <f>E9/D9*C9</f>
        <v>17500</v>
      </c>
    </row>
    <row r="10" spans="1:9" ht="17.399999999999999" x14ac:dyDescent="0.35">
      <c r="A10" s="44">
        <v>2</v>
      </c>
      <c r="B10" s="4" t="s">
        <v>20</v>
      </c>
      <c r="C10" s="15">
        <v>8</v>
      </c>
      <c r="D10" s="85">
        <v>8</v>
      </c>
      <c r="E10" s="85">
        <v>26400</v>
      </c>
      <c r="F10" s="6">
        <f>E10/D10*C10</f>
        <v>26400</v>
      </c>
    </row>
    <row r="11" spans="1:9" ht="17.25" hidden="1" customHeight="1" x14ac:dyDescent="0.3">
      <c r="A11" s="182" t="s">
        <v>57</v>
      </c>
      <c r="B11" s="183"/>
      <c r="C11" s="183"/>
      <c r="D11" s="183"/>
      <c r="E11" s="184"/>
      <c r="F11" s="9"/>
    </row>
    <row r="12" spans="1:9" ht="17.399999999999999" hidden="1" x14ac:dyDescent="0.35">
      <c r="A12" s="83">
        <v>1</v>
      </c>
      <c r="B12" s="4" t="s">
        <v>15</v>
      </c>
      <c r="C12" s="85">
        <v>0</v>
      </c>
      <c r="D12" s="85">
        <v>8</v>
      </c>
      <c r="E12" s="85">
        <v>20000</v>
      </c>
      <c r="F12" s="6">
        <f>E12/D12*C12</f>
        <v>0</v>
      </c>
    </row>
    <row r="13" spans="1:9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43900</v>
      </c>
    </row>
    <row r="14" spans="1:9" ht="17.399999999999999" x14ac:dyDescent="0.35">
      <c r="A14" s="1"/>
      <c r="B14" s="1"/>
      <c r="C14" s="2"/>
      <c r="D14" s="2"/>
      <c r="E14" s="2"/>
      <c r="F14" s="3"/>
    </row>
    <row r="15" spans="1:9" x14ac:dyDescent="0.3">
      <c r="A15" s="173"/>
      <c r="B15" s="174"/>
      <c r="C15" s="174"/>
      <c r="D15" s="174"/>
      <c r="E15" s="174"/>
      <c r="F15" s="174"/>
    </row>
    <row r="16" spans="1:9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7:E17"/>
    <mergeCell ref="E20:F20"/>
    <mergeCell ref="E21:F21"/>
    <mergeCell ref="E22:F22"/>
    <mergeCell ref="E23:F23"/>
    <mergeCell ref="A15:F15"/>
    <mergeCell ref="A2:F3"/>
    <mergeCell ref="A4:F4"/>
    <mergeCell ref="A7:E7"/>
    <mergeCell ref="A11:E11"/>
    <mergeCell ref="A13:E13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3"/>
  <sheetViews>
    <sheetView workbookViewId="0">
      <selection activeCell="G17" sqref="G17"/>
    </sheetView>
  </sheetViews>
  <sheetFormatPr defaultRowHeight="14.4" x14ac:dyDescent="0.3"/>
  <cols>
    <col min="2" max="2" width="19.88671875" bestFit="1" customWidth="1"/>
    <col min="3" max="3" width="12.88671875" customWidth="1"/>
    <col min="4" max="4" width="10.109375" customWidth="1"/>
    <col min="5" max="5" width="13.5546875" customWidth="1"/>
    <col min="6" max="6" width="13.88671875" customWidth="1"/>
  </cols>
  <sheetData>
    <row r="1" spans="1:9" ht="9" customHeight="1" x14ac:dyDescent="0.3"/>
    <row r="2" spans="1:9" ht="15" customHeight="1" x14ac:dyDescent="0.3">
      <c r="A2" s="159" t="s">
        <v>56</v>
      </c>
      <c r="B2" s="159"/>
      <c r="C2" s="159"/>
      <c r="D2" s="159"/>
      <c r="E2" s="159"/>
      <c r="F2" s="159"/>
    </row>
    <row r="3" spans="1:9" ht="24" customHeight="1" x14ac:dyDescent="0.3">
      <c r="A3" s="159"/>
      <c r="B3" s="159"/>
      <c r="C3" s="159"/>
      <c r="D3" s="159"/>
      <c r="E3" s="159"/>
      <c r="F3" s="159"/>
    </row>
    <row r="4" spans="1:9" ht="17.25" customHeight="1" x14ac:dyDescent="0.3">
      <c r="A4" s="160" t="s">
        <v>76</v>
      </c>
      <c r="B4" s="160"/>
      <c r="C4" s="160"/>
      <c r="D4" s="160"/>
      <c r="E4" s="160"/>
      <c r="F4" s="160"/>
    </row>
    <row r="5" spans="1:9" ht="17.399999999999999" x14ac:dyDescent="0.35">
      <c r="A5" s="67"/>
      <c r="B5" s="67"/>
      <c r="C5" s="67"/>
      <c r="D5" s="2"/>
      <c r="E5" s="2"/>
      <c r="F5" s="8">
        <v>45869</v>
      </c>
    </row>
    <row r="6" spans="1:9" ht="52.2" x14ac:dyDescent="0.35">
      <c r="A6" s="86" t="s">
        <v>3</v>
      </c>
      <c r="B6" s="86" t="s">
        <v>0</v>
      </c>
      <c r="C6" s="86" t="s">
        <v>5</v>
      </c>
      <c r="D6" s="86" t="s">
        <v>6</v>
      </c>
      <c r="E6" s="86" t="s">
        <v>1</v>
      </c>
      <c r="F6" s="13" t="s">
        <v>2</v>
      </c>
    </row>
    <row r="7" spans="1:9" ht="17.25" customHeight="1" x14ac:dyDescent="0.3">
      <c r="A7" s="161" t="s">
        <v>12</v>
      </c>
      <c r="B7" s="161"/>
      <c r="C7" s="161"/>
      <c r="D7" s="161"/>
      <c r="E7" s="161"/>
      <c r="F7" s="9"/>
    </row>
    <row r="8" spans="1:9" ht="17.399999999999999" hidden="1" x14ac:dyDescent="0.35">
      <c r="A8" s="86">
        <v>1</v>
      </c>
      <c r="B8" s="4" t="s">
        <v>8</v>
      </c>
      <c r="C8" s="88">
        <v>0</v>
      </c>
      <c r="D8" s="88">
        <v>8</v>
      </c>
      <c r="E8" s="88">
        <v>26400</v>
      </c>
      <c r="F8" s="6">
        <f>E8/D8*C8</f>
        <v>0</v>
      </c>
      <c r="I8">
        <f>26400/8</f>
        <v>3300</v>
      </c>
    </row>
    <row r="9" spans="1:9" ht="17.399999999999999" x14ac:dyDescent="0.35">
      <c r="A9" s="43">
        <v>1</v>
      </c>
      <c r="B9" s="1" t="s">
        <v>21</v>
      </c>
      <c r="C9" s="87">
        <v>6</v>
      </c>
      <c r="D9" s="17">
        <v>8</v>
      </c>
      <c r="E9" s="17">
        <v>20000</v>
      </c>
      <c r="F9" s="6">
        <f>E9/D9*C9</f>
        <v>15000</v>
      </c>
    </row>
    <row r="10" spans="1:9" ht="17.399999999999999" x14ac:dyDescent="0.35">
      <c r="A10" s="44">
        <v>2</v>
      </c>
      <c r="B10" s="4" t="s">
        <v>20</v>
      </c>
      <c r="C10" s="15">
        <v>8</v>
      </c>
      <c r="D10" s="88">
        <v>8</v>
      </c>
      <c r="E10" s="88">
        <v>26400</v>
      </c>
      <c r="F10" s="6">
        <f>E10/D10*C10</f>
        <v>26400</v>
      </c>
    </row>
    <row r="11" spans="1:9" ht="17.25" hidden="1" customHeight="1" x14ac:dyDescent="0.3">
      <c r="A11" s="182" t="s">
        <v>57</v>
      </c>
      <c r="B11" s="183"/>
      <c r="C11" s="183"/>
      <c r="D11" s="183"/>
      <c r="E11" s="184"/>
      <c r="F11" s="9"/>
    </row>
    <row r="12" spans="1:9" ht="17.399999999999999" hidden="1" x14ac:dyDescent="0.35">
      <c r="A12" s="86">
        <v>1</v>
      </c>
      <c r="B12" s="4" t="s">
        <v>15</v>
      </c>
      <c r="C12" s="88">
        <v>0</v>
      </c>
      <c r="D12" s="88">
        <v>8</v>
      </c>
      <c r="E12" s="88">
        <v>20000</v>
      </c>
      <c r="F12" s="6">
        <f>E12/D12*C12</f>
        <v>0</v>
      </c>
    </row>
    <row r="13" spans="1:9" ht="17.399999999999999" x14ac:dyDescent="0.35">
      <c r="A13" s="181" t="s">
        <v>4</v>
      </c>
      <c r="B13" s="181"/>
      <c r="C13" s="181"/>
      <c r="D13" s="181"/>
      <c r="E13" s="181"/>
      <c r="F13" s="7">
        <f>SUM(F8:F12)</f>
        <v>41400</v>
      </c>
    </row>
    <row r="14" spans="1:9" ht="17.399999999999999" x14ac:dyDescent="0.35">
      <c r="A14" s="1"/>
      <c r="B14" s="1"/>
      <c r="C14" s="2"/>
      <c r="D14" s="2"/>
      <c r="E14" s="2"/>
      <c r="F14" s="3"/>
    </row>
    <row r="15" spans="1:9" x14ac:dyDescent="0.3">
      <c r="A15" s="173"/>
      <c r="B15" s="174"/>
      <c r="C15" s="174"/>
      <c r="D15" s="174"/>
      <c r="E15" s="174"/>
      <c r="F15" s="174"/>
    </row>
    <row r="16" spans="1:9" ht="17.399999999999999" x14ac:dyDescent="0.35">
      <c r="A16" s="1"/>
      <c r="B16" s="1"/>
      <c r="C16" s="2"/>
      <c r="D16" s="2"/>
      <c r="E16" s="2"/>
      <c r="F16" s="3"/>
    </row>
    <row r="17" spans="1:6" ht="17.399999999999999" x14ac:dyDescent="0.35">
      <c r="A17" s="175"/>
      <c r="B17" s="175"/>
      <c r="C17" s="175"/>
      <c r="D17" s="175"/>
      <c r="E17" s="175"/>
      <c r="F17" s="3"/>
    </row>
    <row r="18" spans="1:6" ht="17.399999999999999" x14ac:dyDescent="0.35">
      <c r="A18" s="1"/>
      <c r="B18" s="1"/>
      <c r="C18" s="2"/>
      <c r="D18" s="2"/>
      <c r="E18" s="2"/>
      <c r="F18" s="3"/>
    </row>
    <row r="19" spans="1:6" ht="17.399999999999999" x14ac:dyDescent="0.35">
      <c r="A19" s="1"/>
      <c r="B19" s="1"/>
      <c r="C19" s="2"/>
      <c r="D19" s="2"/>
      <c r="E19" s="2"/>
      <c r="F19" s="3"/>
    </row>
    <row r="20" spans="1:6" ht="17.25" customHeight="1" x14ac:dyDescent="0.35">
      <c r="A20" s="1"/>
      <c r="B20" s="10"/>
      <c r="C20" s="2"/>
      <c r="D20" s="2"/>
      <c r="E20" s="168" t="s">
        <v>61</v>
      </c>
      <c r="F20" s="168"/>
    </row>
    <row r="21" spans="1:6" x14ac:dyDescent="0.3">
      <c r="E21" s="166" t="s">
        <v>86</v>
      </c>
      <c r="F21" s="166"/>
    </row>
    <row r="22" spans="1:6" x14ac:dyDescent="0.3">
      <c r="E22" s="166" t="s">
        <v>84</v>
      </c>
      <c r="F22" s="166"/>
    </row>
    <row r="23" spans="1:6" x14ac:dyDescent="0.3">
      <c r="E23" s="166" t="s">
        <v>85</v>
      </c>
      <c r="F23" s="166"/>
    </row>
  </sheetData>
  <mergeCells count="11">
    <mergeCell ref="A15:F15"/>
    <mergeCell ref="A2:F3"/>
    <mergeCell ref="A4:F4"/>
    <mergeCell ref="A7:E7"/>
    <mergeCell ref="A11:E11"/>
    <mergeCell ref="A13:E13"/>
    <mergeCell ref="A17:E17"/>
    <mergeCell ref="E20:F20"/>
    <mergeCell ref="E21:F21"/>
    <mergeCell ref="E22:F22"/>
    <mergeCell ref="E23:F23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25"/>
  <sheetViews>
    <sheetView topLeftCell="C1" workbookViewId="0">
      <selection activeCell="G11" sqref="G11"/>
    </sheetView>
  </sheetViews>
  <sheetFormatPr defaultRowHeight="14.4" x14ac:dyDescent="0.3"/>
  <cols>
    <col min="2" max="2" width="10.6640625" customWidth="1"/>
    <col min="3" max="3" width="31.6640625" bestFit="1" customWidth="1"/>
    <col min="4" max="4" width="12.88671875" customWidth="1"/>
    <col min="5" max="5" width="13.88671875" customWidth="1"/>
    <col min="6" max="6" width="13.5546875" customWidth="1"/>
    <col min="7" max="7" width="13.88671875" customWidth="1"/>
    <col min="9" max="9" width="96.88671875" bestFit="1" customWidth="1"/>
  </cols>
  <sheetData>
    <row r="1" spans="1:10" ht="9" customHeight="1" x14ac:dyDescent="0.3"/>
    <row r="2" spans="1:10" ht="15" customHeight="1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45901</v>
      </c>
    </row>
    <row r="6" spans="1:10" ht="69.599999999999994" x14ac:dyDescent="0.35">
      <c r="A6" s="89" t="s">
        <v>3</v>
      </c>
      <c r="B6" s="91" t="s">
        <v>89</v>
      </c>
      <c r="C6" s="89" t="s">
        <v>0</v>
      </c>
      <c r="D6" s="91" t="s">
        <v>6</v>
      </c>
      <c r="E6" s="89" t="s">
        <v>100</v>
      </c>
      <c r="F6" s="89" t="s">
        <v>1</v>
      </c>
      <c r="G6" s="13" t="s">
        <v>2</v>
      </c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89">
        <v>1</v>
      </c>
      <c r="B8" s="91"/>
      <c r="C8" s="4" t="s">
        <v>8</v>
      </c>
      <c r="D8" s="90">
        <v>0</v>
      </c>
      <c r="E8" s="90">
        <v>8</v>
      </c>
      <c r="F8" s="90">
        <v>26400</v>
      </c>
      <c r="G8" s="6">
        <f>F8/E8*D8</f>
        <v>0</v>
      </c>
      <c r="J8">
        <f>26400/8</f>
        <v>3300</v>
      </c>
    </row>
    <row r="9" spans="1:10" ht="18" x14ac:dyDescent="0.35">
      <c r="A9" s="44">
        <v>1</v>
      </c>
      <c r="B9" s="97" t="s">
        <v>93</v>
      </c>
      <c r="C9" s="4" t="s">
        <v>94</v>
      </c>
      <c r="D9" s="15">
        <v>12</v>
      </c>
      <c r="E9" s="93">
        <v>13</v>
      </c>
      <c r="F9" s="93">
        <v>75000</v>
      </c>
      <c r="G9" s="6">
        <f t="shared" ref="G9:G10" si="0">F9/D9*E9</f>
        <v>81250</v>
      </c>
      <c r="I9" s="98" t="s">
        <v>101</v>
      </c>
    </row>
    <row r="10" spans="1:10" ht="17.399999999999999" x14ac:dyDescent="0.35">
      <c r="A10" s="94">
        <v>2</v>
      </c>
      <c r="B10" s="96" t="s">
        <v>91</v>
      </c>
      <c r="C10" s="95" t="s">
        <v>96</v>
      </c>
      <c r="D10" s="15">
        <v>8</v>
      </c>
      <c r="E10" s="93">
        <v>8</v>
      </c>
      <c r="F10" s="93">
        <v>26400</v>
      </c>
      <c r="G10" s="6">
        <f t="shared" si="0"/>
        <v>26400</v>
      </c>
    </row>
    <row r="11" spans="1:10" ht="17.399999999999999" x14ac:dyDescent="0.35">
      <c r="A11" s="44">
        <v>3</v>
      </c>
      <c r="B11" s="96" t="s">
        <v>90</v>
      </c>
      <c r="C11" s="95" t="s">
        <v>95</v>
      </c>
      <c r="D11" s="15">
        <v>8</v>
      </c>
      <c r="E11" s="17">
        <v>6</v>
      </c>
      <c r="F11" s="17">
        <v>20000</v>
      </c>
      <c r="G11" s="6">
        <f>F11/D11*E11</f>
        <v>15000</v>
      </c>
    </row>
    <row r="12" spans="1:10" ht="18" x14ac:dyDescent="0.35">
      <c r="A12" s="94">
        <v>4</v>
      </c>
      <c r="B12" s="96" t="s">
        <v>92</v>
      </c>
      <c r="C12" s="95" t="s">
        <v>97</v>
      </c>
      <c r="D12" s="92">
        <v>8</v>
      </c>
      <c r="E12" s="93">
        <v>10</v>
      </c>
      <c r="F12" s="93"/>
      <c r="G12" s="6">
        <f t="shared" ref="G12:G14" si="1">F12/D12*E12</f>
        <v>0</v>
      </c>
      <c r="I12" s="98" t="s">
        <v>106</v>
      </c>
    </row>
    <row r="13" spans="1:10" ht="18" x14ac:dyDescent="0.35">
      <c r="A13" s="44">
        <v>5</v>
      </c>
      <c r="B13" s="96" t="s">
        <v>98</v>
      </c>
      <c r="C13" s="95" t="s">
        <v>103</v>
      </c>
      <c r="D13" s="92">
        <v>12</v>
      </c>
      <c r="E13" s="93">
        <v>14</v>
      </c>
      <c r="F13" s="93"/>
      <c r="G13" s="6">
        <f t="shared" si="1"/>
        <v>0</v>
      </c>
      <c r="I13" s="98" t="s">
        <v>105</v>
      </c>
    </row>
    <row r="14" spans="1:10" ht="18" x14ac:dyDescent="0.35">
      <c r="A14" s="94">
        <v>6</v>
      </c>
      <c r="B14" s="96" t="s">
        <v>99</v>
      </c>
      <c r="C14" s="95" t="s">
        <v>104</v>
      </c>
      <c r="D14" s="92">
        <v>12</v>
      </c>
      <c r="E14" s="93">
        <v>10</v>
      </c>
      <c r="F14" s="93">
        <v>26400</v>
      </c>
      <c r="G14" s="6">
        <f t="shared" si="1"/>
        <v>22000</v>
      </c>
      <c r="I14" s="98" t="s">
        <v>102</v>
      </c>
    </row>
    <row r="15" spans="1:10" ht="17.399999999999999" x14ac:dyDescent="0.35">
      <c r="A15" s="181" t="s">
        <v>4</v>
      </c>
      <c r="B15" s="181"/>
      <c r="C15" s="181"/>
      <c r="D15" s="181"/>
      <c r="E15" s="181"/>
      <c r="F15" s="181"/>
      <c r="G15" s="7">
        <f>SUM(G8:G11)</f>
        <v>122650</v>
      </c>
    </row>
    <row r="16" spans="1:10" ht="17.399999999999999" x14ac:dyDescent="0.35">
      <c r="A16" s="1"/>
      <c r="B16" s="1"/>
      <c r="C16" s="1"/>
      <c r="D16" s="2"/>
      <c r="E16" s="2"/>
      <c r="F16" s="2"/>
      <c r="G16" s="3"/>
    </row>
    <row r="17" spans="1:7" x14ac:dyDescent="0.3">
      <c r="A17" s="173"/>
      <c r="B17" s="173"/>
      <c r="C17" s="174"/>
      <c r="D17" s="174"/>
      <c r="E17" s="174"/>
      <c r="F17" s="174"/>
      <c r="G17" s="174"/>
    </row>
    <row r="18" spans="1:7" ht="17.399999999999999" x14ac:dyDescent="0.35">
      <c r="A18" s="1"/>
      <c r="B18" s="1"/>
      <c r="C18" s="1"/>
      <c r="D18" s="2"/>
      <c r="E18" s="2"/>
      <c r="F18" s="2"/>
      <c r="G18" s="3"/>
    </row>
    <row r="19" spans="1:7" ht="17.399999999999999" x14ac:dyDescent="0.35">
      <c r="A19" s="175"/>
      <c r="B19" s="175"/>
      <c r="C19" s="175"/>
      <c r="D19" s="175"/>
      <c r="E19" s="175"/>
      <c r="F19" s="175"/>
      <c r="G19" s="3"/>
    </row>
    <row r="20" spans="1:7" ht="17.399999999999999" x14ac:dyDescent="0.35">
      <c r="A20" s="1"/>
      <c r="B20" s="1"/>
      <c r="C20" s="1"/>
      <c r="D20" s="2"/>
      <c r="E20" s="2"/>
      <c r="F20" s="2"/>
      <c r="G20" s="3"/>
    </row>
    <row r="21" spans="1:7" ht="17.399999999999999" x14ac:dyDescent="0.35">
      <c r="A21" s="1"/>
      <c r="B21" s="1"/>
      <c r="C21" s="1"/>
      <c r="D21" s="2"/>
      <c r="E21" s="2"/>
      <c r="F21" s="2"/>
      <c r="G21" s="3"/>
    </row>
    <row r="22" spans="1:7" ht="17.25" customHeight="1" x14ac:dyDescent="0.35">
      <c r="A22" s="1"/>
      <c r="B22" s="1"/>
      <c r="C22" s="10"/>
      <c r="D22" s="2"/>
      <c r="E22" s="2"/>
      <c r="F22" s="168" t="s">
        <v>61</v>
      </c>
      <c r="G22" s="168"/>
    </row>
    <row r="23" spans="1:7" x14ac:dyDescent="0.3">
      <c r="F23" s="166" t="s">
        <v>86</v>
      </c>
      <c r="G23" s="166"/>
    </row>
    <row r="24" spans="1:7" x14ac:dyDescent="0.3">
      <c r="F24" s="166" t="s">
        <v>84</v>
      </c>
      <c r="G24" s="166"/>
    </row>
    <row r="25" spans="1:7" x14ac:dyDescent="0.3">
      <c r="F25" s="166" t="s">
        <v>85</v>
      </c>
      <c r="G25" s="166"/>
    </row>
  </sheetData>
  <mergeCells count="10">
    <mergeCell ref="A19:F19"/>
    <mergeCell ref="F22:G22"/>
    <mergeCell ref="F23:G23"/>
    <mergeCell ref="F24:G24"/>
    <mergeCell ref="F25:G25"/>
    <mergeCell ref="A17:G17"/>
    <mergeCell ref="A2:G3"/>
    <mergeCell ref="A4:G4"/>
    <mergeCell ref="A7:F7"/>
    <mergeCell ref="A15:F15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5"/>
  <sheetViews>
    <sheetView view="pageBreakPreview" zoomScaleNormal="100" zoomScaleSheetLayoutView="100" workbookViewId="0">
      <selection activeCell="D12" sqref="D12"/>
    </sheetView>
  </sheetViews>
  <sheetFormatPr defaultRowHeight="14.4" x14ac:dyDescent="0.3"/>
  <cols>
    <col min="1" max="1" width="4.88671875" bestFit="1" customWidth="1"/>
    <col min="2" max="2" width="7.6640625" bestFit="1" customWidth="1"/>
    <col min="3" max="3" width="31.6640625" bestFit="1" customWidth="1"/>
    <col min="4" max="4" width="10.33203125" bestFit="1" customWidth="1"/>
    <col min="5" max="5" width="13.88671875" customWidth="1"/>
    <col min="6" max="6" width="11.109375" customWidth="1"/>
    <col min="7" max="7" width="13.33203125" bestFit="1" customWidth="1"/>
    <col min="9" max="9" width="70.88671875" style="107" customWidth="1"/>
  </cols>
  <sheetData>
    <row r="1" spans="1:10" ht="9" customHeight="1" x14ac:dyDescent="0.3"/>
    <row r="2" spans="1:10" ht="15" customHeight="1" x14ac:dyDescent="0.3">
      <c r="A2" s="159" t="s">
        <v>56</v>
      </c>
      <c r="B2" s="159"/>
      <c r="C2" s="159"/>
      <c r="D2" s="159"/>
      <c r="E2" s="159"/>
      <c r="F2" s="159"/>
      <c r="G2" s="159"/>
    </row>
    <row r="3" spans="1:10" ht="24" customHeight="1" x14ac:dyDescent="0.3">
      <c r="A3" s="159"/>
      <c r="B3" s="159"/>
      <c r="C3" s="159"/>
      <c r="D3" s="159"/>
      <c r="E3" s="159"/>
      <c r="F3" s="159"/>
      <c r="G3" s="159"/>
    </row>
    <row r="4" spans="1:10" ht="17.25" customHeight="1" x14ac:dyDescent="0.3">
      <c r="A4" s="160" t="s">
        <v>76</v>
      </c>
      <c r="B4" s="160"/>
      <c r="C4" s="160"/>
      <c r="D4" s="160"/>
      <c r="E4" s="160"/>
      <c r="F4" s="160"/>
      <c r="G4" s="160"/>
    </row>
    <row r="5" spans="1:10" ht="17.399999999999999" x14ac:dyDescent="0.35">
      <c r="A5" s="67"/>
      <c r="B5" s="67"/>
      <c r="C5" s="67"/>
      <c r="D5" s="67"/>
      <c r="E5" s="2"/>
      <c r="F5" s="2"/>
      <c r="G5" s="8">
        <v>45931</v>
      </c>
    </row>
    <row r="6" spans="1:10" s="106" customFormat="1" ht="69.599999999999994" x14ac:dyDescent="0.3">
      <c r="A6" s="102" t="s">
        <v>3</v>
      </c>
      <c r="B6" s="102" t="s">
        <v>89</v>
      </c>
      <c r="C6" s="102" t="s">
        <v>0</v>
      </c>
      <c r="D6" s="102" t="s">
        <v>6</v>
      </c>
      <c r="E6" s="102" t="s">
        <v>100</v>
      </c>
      <c r="F6" s="102" t="s">
        <v>1</v>
      </c>
      <c r="G6" s="20" t="s">
        <v>2</v>
      </c>
      <c r="I6" s="107"/>
    </row>
    <row r="7" spans="1:10" ht="17.25" customHeight="1" x14ac:dyDescent="0.3">
      <c r="A7" s="161" t="s">
        <v>12</v>
      </c>
      <c r="B7" s="161"/>
      <c r="C7" s="161"/>
      <c r="D7" s="161"/>
      <c r="E7" s="161"/>
      <c r="F7" s="161"/>
      <c r="G7" s="9"/>
    </row>
    <row r="8" spans="1:10" ht="17.399999999999999" hidden="1" x14ac:dyDescent="0.35">
      <c r="A8" s="99">
        <v>1</v>
      </c>
      <c r="B8" s="99"/>
      <c r="C8" s="4" t="s">
        <v>8</v>
      </c>
      <c r="D8" s="100">
        <v>0</v>
      </c>
      <c r="E8" s="100">
        <v>8</v>
      </c>
      <c r="F8" s="100">
        <v>26400</v>
      </c>
      <c r="G8" s="6">
        <f>F8/E8*D8</f>
        <v>0</v>
      </c>
      <c r="J8">
        <f>26400/8</f>
        <v>3300</v>
      </c>
    </row>
    <row r="9" spans="1:10" ht="34.950000000000003" customHeight="1" x14ac:dyDescent="0.3">
      <c r="A9" s="44">
        <v>1</v>
      </c>
      <c r="B9" s="97" t="s">
        <v>93</v>
      </c>
      <c r="C9" s="105" t="s">
        <v>94</v>
      </c>
      <c r="D9" s="103">
        <v>12</v>
      </c>
      <c r="E9" s="17">
        <v>13</v>
      </c>
      <c r="F9" s="17">
        <v>75000</v>
      </c>
      <c r="G9" s="18">
        <v>75000</v>
      </c>
      <c r="I9" s="108" t="s">
        <v>107</v>
      </c>
    </row>
    <row r="10" spans="1:10" ht="34.950000000000003" customHeight="1" x14ac:dyDescent="0.3">
      <c r="A10" s="94">
        <v>2</v>
      </c>
      <c r="B10" s="96" t="s">
        <v>91</v>
      </c>
      <c r="C10" s="105" t="s">
        <v>96</v>
      </c>
      <c r="D10" s="103">
        <v>8</v>
      </c>
      <c r="E10" s="17">
        <v>8</v>
      </c>
      <c r="F10" s="17">
        <v>26400</v>
      </c>
      <c r="G10" s="18">
        <f>F10/D10*E10</f>
        <v>26400</v>
      </c>
    </row>
    <row r="11" spans="1:10" ht="34.950000000000003" customHeight="1" x14ac:dyDescent="0.3">
      <c r="A11" s="44">
        <v>3</v>
      </c>
      <c r="B11" s="96" t="s">
        <v>90</v>
      </c>
      <c r="C11" s="105" t="s">
        <v>95</v>
      </c>
      <c r="D11" s="103">
        <v>10</v>
      </c>
      <c r="E11" s="17">
        <v>6</v>
      </c>
      <c r="F11" s="17">
        <v>20000</v>
      </c>
      <c r="G11" s="18">
        <f t="shared" ref="G11:G12" si="0">F11/D11*E11</f>
        <v>12000</v>
      </c>
    </row>
    <row r="12" spans="1:10" ht="34.950000000000003" customHeight="1" x14ac:dyDescent="0.3">
      <c r="A12" s="94">
        <v>4</v>
      </c>
      <c r="B12" s="96" t="s">
        <v>92</v>
      </c>
      <c r="C12" s="105" t="s">
        <v>97</v>
      </c>
      <c r="D12" s="103">
        <v>10</v>
      </c>
      <c r="E12" s="17">
        <v>10</v>
      </c>
      <c r="F12" s="17">
        <v>20000</v>
      </c>
      <c r="G12" s="18">
        <f t="shared" si="0"/>
        <v>20000</v>
      </c>
      <c r="I12" s="108" t="s">
        <v>108</v>
      </c>
    </row>
    <row r="13" spans="1:10" ht="34.950000000000003" customHeight="1" x14ac:dyDescent="0.3">
      <c r="A13" s="44">
        <v>5</v>
      </c>
      <c r="B13" s="96" t="s">
        <v>98</v>
      </c>
      <c r="C13" s="105" t="s">
        <v>103</v>
      </c>
      <c r="D13" s="104">
        <v>14</v>
      </c>
      <c r="E13" s="17">
        <v>14</v>
      </c>
      <c r="F13" s="17">
        <v>42000</v>
      </c>
      <c r="G13" s="18">
        <f t="shared" ref="G13" si="1">F13/D13*E13</f>
        <v>42000</v>
      </c>
      <c r="I13" s="108" t="s">
        <v>105</v>
      </c>
    </row>
    <row r="14" spans="1:10" ht="34.950000000000003" customHeight="1" x14ac:dyDescent="0.3">
      <c r="A14" s="94">
        <v>6</v>
      </c>
      <c r="B14" s="96" t="s">
        <v>99</v>
      </c>
      <c r="C14" s="105" t="s">
        <v>104</v>
      </c>
      <c r="D14" s="104">
        <v>8</v>
      </c>
      <c r="E14" s="17">
        <v>10</v>
      </c>
      <c r="F14" s="17">
        <v>26400</v>
      </c>
      <c r="G14" s="18">
        <v>26400</v>
      </c>
      <c r="I14" s="108" t="s">
        <v>102</v>
      </c>
    </row>
    <row r="15" spans="1:10" ht="17.399999999999999" x14ac:dyDescent="0.35">
      <c r="A15" s="169" t="s">
        <v>4</v>
      </c>
      <c r="B15" s="170"/>
      <c r="C15" s="170"/>
      <c r="D15" s="170"/>
      <c r="E15" s="171"/>
      <c r="F15" s="101">
        <f>SUM(F9:F14)</f>
        <v>209800</v>
      </c>
      <c r="G15" s="7">
        <f>SUM(G8:G14)</f>
        <v>201800</v>
      </c>
    </row>
    <row r="16" spans="1:10" ht="17.399999999999999" x14ac:dyDescent="0.35">
      <c r="A16" s="1"/>
      <c r="B16" s="1"/>
      <c r="C16" s="1"/>
      <c r="D16" s="2"/>
      <c r="E16" s="2"/>
      <c r="F16" s="2"/>
      <c r="G16" s="3"/>
    </row>
    <row r="17" spans="1:7" x14ac:dyDescent="0.3">
      <c r="A17" s="173"/>
      <c r="B17" s="173"/>
      <c r="C17" s="174"/>
      <c r="D17" s="174"/>
      <c r="E17" s="174"/>
      <c r="F17" s="174"/>
      <c r="G17" s="174"/>
    </row>
    <row r="18" spans="1:7" ht="17.399999999999999" x14ac:dyDescent="0.35">
      <c r="A18" s="1"/>
      <c r="B18" s="1"/>
      <c r="C18" s="1"/>
      <c r="D18" s="2"/>
      <c r="E18" s="2"/>
      <c r="F18" s="2"/>
      <c r="G18" s="3"/>
    </row>
    <row r="19" spans="1:7" ht="17.399999999999999" x14ac:dyDescent="0.35">
      <c r="A19" s="175"/>
      <c r="B19" s="175"/>
      <c r="C19" s="175"/>
      <c r="D19" s="175"/>
      <c r="E19" s="175"/>
      <c r="F19" s="175"/>
      <c r="G19" s="3"/>
    </row>
    <row r="20" spans="1:7" ht="17.399999999999999" x14ac:dyDescent="0.35">
      <c r="A20" s="1"/>
      <c r="B20" s="1"/>
      <c r="C20" s="1"/>
      <c r="D20" s="2"/>
      <c r="E20" s="2"/>
      <c r="F20" s="2"/>
      <c r="G20" s="3"/>
    </row>
    <row r="21" spans="1:7" ht="17.399999999999999" x14ac:dyDescent="0.35">
      <c r="A21" s="1"/>
      <c r="B21" s="1"/>
      <c r="C21" s="1"/>
      <c r="D21" s="2"/>
      <c r="E21" s="2"/>
      <c r="F21" s="2"/>
      <c r="G21" s="3"/>
    </row>
    <row r="22" spans="1:7" ht="17.25" customHeight="1" x14ac:dyDescent="0.35">
      <c r="A22" s="1"/>
      <c r="B22" s="1"/>
      <c r="C22" s="10"/>
      <c r="D22" s="2"/>
      <c r="E22" s="2"/>
      <c r="F22" s="168" t="s">
        <v>61</v>
      </c>
      <c r="G22" s="168"/>
    </row>
    <row r="23" spans="1:7" x14ac:dyDescent="0.3">
      <c r="F23" s="166" t="s">
        <v>86</v>
      </c>
      <c r="G23" s="166"/>
    </row>
    <row r="24" spans="1:7" x14ac:dyDescent="0.3">
      <c r="F24" s="166" t="s">
        <v>84</v>
      </c>
      <c r="G24" s="166"/>
    </row>
    <row r="25" spans="1:7" x14ac:dyDescent="0.3">
      <c r="F25" s="166" t="s">
        <v>85</v>
      </c>
      <c r="G25" s="166"/>
    </row>
  </sheetData>
  <mergeCells count="10">
    <mergeCell ref="F22:G22"/>
    <mergeCell ref="F23:G23"/>
    <mergeCell ref="F24:G24"/>
    <mergeCell ref="F25:G25"/>
    <mergeCell ref="A2:G3"/>
    <mergeCell ref="A4:G4"/>
    <mergeCell ref="A7:F7"/>
    <mergeCell ref="A17:G17"/>
    <mergeCell ref="A19:F19"/>
    <mergeCell ref="A15:E15"/>
  </mergeCells>
  <pageMargins left="0.7" right="0.7" top="0.75" bottom="0.75" header="0.3" footer="0.3"/>
  <pageSetup paperSize="9" scale="94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37</vt:i4>
      </vt:variant>
    </vt:vector>
  </HeadingPairs>
  <TitlesOfParts>
    <vt:vector size="96" baseType="lpstr">
      <vt:lpstr>May -2026</vt:lpstr>
      <vt:lpstr>April -2026 (2)</vt:lpstr>
      <vt:lpstr>April -2026</vt:lpstr>
      <vt:lpstr>March -2026</vt:lpstr>
      <vt:lpstr>Feb -2026</vt:lpstr>
      <vt:lpstr>Jan -2026</vt:lpstr>
      <vt:lpstr>Dec-2025</vt:lpstr>
      <vt:lpstr>Nov-25</vt:lpstr>
      <vt:lpstr>oct-25</vt:lpstr>
      <vt:lpstr>April 2024 (2)</vt:lpstr>
      <vt:lpstr>JAN 2022</vt:lpstr>
      <vt:lpstr>FEB 2022</vt:lpstr>
      <vt:lpstr>MAR TILL 24TH  2022</vt:lpstr>
      <vt:lpstr>MAR 25-31ST 2022</vt:lpstr>
      <vt:lpstr>APR 2022</vt:lpstr>
      <vt:lpstr>MAY 2022</vt:lpstr>
      <vt:lpstr>JUNE 2022</vt:lpstr>
      <vt:lpstr>JULY 2022</vt:lpstr>
      <vt:lpstr>AUG 2022</vt:lpstr>
      <vt:lpstr>SEP 2022</vt:lpstr>
      <vt:lpstr>OCT 2022</vt:lpstr>
      <vt:lpstr>NOV 2022</vt:lpstr>
      <vt:lpstr>DEC 2022</vt:lpstr>
      <vt:lpstr>Jan23</vt:lpstr>
      <vt:lpstr>Feb23</vt:lpstr>
      <vt:lpstr>Mar23</vt:lpstr>
      <vt:lpstr>Mar23-2</vt:lpstr>
      <vt:lpstr>April-2023</vt:lpstr>
      <vt:lpstr>May-23</vt:lpstr>
      <vt:lpstr>June-23</vt:lpstr>
      <vt:lpstr>July-23</vt:lpstr>
      <vt:lpstr>Aug-23</vt:lpstr>
      <vt:lpstr>Sept-23</vt:lpstr>
      <vt:lpstr>sept new</vt:lpstr>
      <vt:lpstr>OCT-23</vt:lpstr>
      <vt:lpstr>Nov-23</vt:lpstr>
      <vt:lpstr>Dec-23</vt:lpstr>
      <vt:lpstr>Jan-24</vt:lpstr>
      <vt:lpstr>Feb-24</vt:lpstr>
      <vt:lpstr>Mar-24</vt:lpstr>
      <vt:lpstr>April 2024</vt:lpstr>
      <vt:lpstr>Mar-24 (2)</vt:lpstr>
      <vt:lpstr>MAY-2024</vt:lpstr>
      <vt:lpstr>June-24</vt:lpstr>
      <vt:lpstr>AUG -24</vt:lpstr>
      <vt:lpstr>Sept-24</vt:lpstr>
      <vt:lpstr>Oct-24</vt:lpstr>
      <vt:lpstr>OCT-24 </vt:lpstr>
      <vt:lpstr>NOV-24</vt:lpstr>
      <vt:lpstr>Dec-24</vt:lpstr>
      <vt:lpstr>JAN-25</vt:lpstr>
      <vt:lpstr>Feb-25</vt:lpstr>
      <vt:lpstr>Mar-25</vt:lpstr>
      <vt:lpstr>April-25</vt:lpstr>
      <vt:lpstr>May-25</vt:lpstr>
      <vt:lpstr>June-25</vt:lpstr>
      <vt:lpstr>july25</vt:lpstr>
      <vt:lpstr>Aug-25</vt:lpstr>
      <vt:lpstr>Sep-25</vt:lpstr>
      <vt:lpstr>'APR 2022'!Print_Area</vt:lpstr>
      <vt:lpstr>'April -2026'!Print_Area</vt:lpstr>
      <vt:lpstr>'April -2026 (2)'!Print_Area</vt:lpstr>
      <vt:lpstr>'April-2023'!Print_Area</vt:lpstr>
      <vt:lpstr>'AUG 2022'!Print_Area</vt:lpstr>
      <vt:lpstr>'Aug-23'!Print_Area</vt:lpstr>
      <vt:lpstr>'DEC 2022'!Print_Area</vt:lpstr>
      <vt:lpstr>'Dec-2025'!Print_Area</vt:lpstr>
      <vt:lpstr>'Dec-23'!Print_Area</vt:lpstr>
      <vt:lpstr>'FEB 2022'!Print_Area</vt:lpstr>
      <vt:lpstr>'Feb -2026'!Print_Area</vt:lpstr>
      <vt:lpstr>'Feb23'!Print_Area</vt:lpstr>
      <vt:lpstr>'Feb-24'!Print_Area</vt:lpstr>
      <vt:lpstr>'JAN 2022'!Print_Area</vt:lpstr>
      <vt:lpstr>'Jan -2026'!Print_Area</vt:lpstr>
      <vt:lpstr>'Jan23'!Print_Area</vt:lpstr>
      <vt:lpstr>'Jan-24'!Print_Area</vt:lpstr>
      <vt:lpstr>'JULY 2022'!Print_Area</vt:lpstr>
      <vt:lpstr>'July-23'!Print_Area</vt:lpstr>
      <vt:lpstr>'JUNE 2022'!Print_Area</vt:lpstr>
      <vt:lpstr>'June-23'!Print_Area</vt:lpstr>
      <vt:lpstr>'MAR 25-31ST 2022'!Print_Area</vt:lpstr>
      <vt:lpstr>'MAR TILL 24TH  2022'!Print_Area</vt:lpstr>
      <vt:lpstr>'Mar23'!Print_Area</vt:lpstr>
      <vt:lpstr>'Mar23-2'!Print_Area</vt:lpstr>
      <vt:lpstr>'Mar-24'!Print_Area</vt:lpstr>
      <vt:lpstr>'Mar-24 (2)'!Print_Area</vt:lpstr>
      <vt:lpstr>'March -2026'!Print_Area</vt:lpstr>
      <vt:lpstr>'MAY 2022'!Print_Area</vt:lpstr>
      <vt:lpstr>'May -2026'!Print_Area</vt:lpstr>
      <vt:lpstr>'May-23'!Print_Area</vt:lpstr>
      <vt:lpstr>'NOV 2022'!Print_Area</vt:lpstr>
      <vt:lpstr>'Nov-23'!Print_Area</vt:lpstr>
      <vt:lpstr>'OCT 2022'!Print_Area</vt:lpstr>
      <vt:lpstr>'OCT-23'!Print_Area</vt:lpstr>
      <vt:lpstr>'SEP 2022'!Print_Area</vt:lpstr>
      <vt:lpstr>'Sept-23'!Print_Area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2026-05-30T05:07:26Z</dcterms:modified>
</cp:coreProperties>
</file>