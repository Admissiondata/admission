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chi_admin1\Desktop\Extra file 2026\"/>
    </mc:Choice>
  </mc:AlternateContent>
  <xr:revisionPtr revIDLastSave="0" documentId="13_ncr:1_{EEEA7D72-70F6-4450-9746-D39FEA086EA7}" xr6:coauthVersionLast="40" xr6:coauthVersionMax="45" xr10:uidLastSave="{00000000-0000-0000-0000-000000000000}"/>
  <bookViews>
    <workbookView xWindow="-120" yWindow="-120" windowWidth="20736" windowHeight="11160" tabRatio="661" xr2:uid="{00000000-000D-0000-FFFF-FFFF00000000}"/>
  </bookViews>
  <sheets>
    <sheet name="June -2026" sheetId="27" r:id="rId1"/>
    <sheet name="May-2026" sheetId="26" r:id="rId2"/>
    <sheet name="April-2026" sheetId="25" r:id="rId3"/>
    <sheet name="March-2026" sheetId="24" r:id="rId4"/>
    <sheet name="Feb-2026" sheetId="23" r:id="rId5"/>
    <sheet name="Jan -2026" sheetId="22" r:id="rId6"/>
    <sheet name="Dec -2025" sheetId="19" r:id="rId7"/>
    <sheet name="Nov -2025 1" sheetId="20" r:id="rId8"/>
    <sheet name="Oct-2025 1" sheetId="21" r:id="rId9"/>
    <sheet name="Nov-2025" sheetId="18" r:id="rId10"/>
    <sheet name="Oct-2025" sheetId="17" r:id="rId11"/>
    <sheet name="April 19" sheetId="16" r:id="rId12"/>
  </sheets>
  <definedNames>
    <definedName name="_xlnm.Print_Area" localSheetId="11">'April 19'!$A$1:$AM$21</definedName>
    <definedName name="_xlnm.Print_Area" localSheetId="2">'April-2026'!$A$1:$AK$21</definedName>
    <definedName name="_xlnm.Print_Area" localSheetId="6">'Dec -2025'!$B$1:$AL$30</definedName>
    <definedName name="_xlnm.Print_Area" localSheetId="4">'Feb-2026'!$A$1:$AH$23</definedName>
    <definedName name="_xlnm.Print_Area" localSheetId="5">'Jan -2026'!$B$1:$AK$23</definedName>
    <definedName name="_xlnm.Print_Area" localSheetId="0">'June -2026'!$A$1:$AJ$21</definedName>
    <definedName name="_xlnm.Print_Area" localSheetId="3">'March-2026'!$A$1:$AK$22</definedName>
    <definedName name="_xlnm.Print_Area" localSheetId="1">'May-2026'!$A$1:$AK$21</definedName>
    <definedName name="_xlnm.Print_Area" localSheetId="7">'Nov -2025 1'!$A$1:$AL$23</definedName>
    <definedName name="_xlnm.Print_Area" localSheetId="9">'Nov-2025'!$A$1:$AM$21</definedName>
    <definedName name="_xlnm.Print_Area" localSheetId="10">'Oct-2025'!$A$1:$AM$21</definedName>
    <definedName name="_xlnm.Print_Area" localSheetId="8">'Oct-2025 1'!$A$1:$AN$23</definedName>
  </definedNames>
  <calcPr calcId="191029"/>
</workbook>
</file>

<file path=xl/calcChain.xml><?xml version="1.0" encoding="utf-8"?>
<calcChain xmlns="http://schemas.openxmlformats.org/spreadsheetml/2006/main">
  <c r="AG11" i="27" l="1"/>
  <c r="AJ11" i="27" s="1"/>
  <c r="AG10" i="27"/>
  <c r="AJ10" i="27" s="1"/>
  <c r="AG9" i="27"/>
  <c r="AJ9" i="27" s="1"/>
  <c r="AG8" i="27"/>
  <c r="AJ8" i="27" s="1"/>
  <c r="AJ12" i="27" l="1"/>
  <c r="AK8" i="26"/>
  <c r="AK11" i="26" l="1"/>
  <c r="AH11" i="26"/>
  <c r="AH10" i="26"/>
  <c r="AK10" i="26" s="1"/>
  <c r="AK9" i="26"/>
  <c r="AK12" i="26" s="1"/>
  <c r="AH9" i="26"/>
  <c r="AH8" i="26"/>
  <c r="AH9" i="25" l="1"/>
  <c r="AK9" i="25" s="1"/>
  <c r="AH10" i="25" l="1"/>
  <c r="AK10" i="25" s="1"/>
  <c r="AH11" i="25"/>
  <c r="AK11" i="25" s="1"/>
  <c r="AH8" i="25"/>
  <c r="AK12" i="25" l="1"/>
  <c r="AH12" i="24"/>
  <c r="AK12" i="24" s="1"/>
  <c r="AH11" i="24"/>
  <c r="AK11" i="24" s="1"/>
  <c r="AH10" i="24"/>
  <c r="AK10" i="24" s="1"/>
  <c r="AH9" i="24"/>
  <c r="AK9" i="24" s="1"/>
  <c r="AH8" i="24"/>
  <c r="AK8" i="24" s="1"/>
  <c r="AK13" i="24" l="1"/>
  <c r="AE13" i="23"/>
  <c r="AH13" i="23" s="1"/>
  <c r="AE12" i="23"/>
  <c r="AH12" i="23" s="1"/>
  <c r="AH14" i="23" s="1"/>
  <c r="AE11" i="23"/>
  <c r="AH11" i="23" s="1"/>
  <c r="AE10" i="23"/>
  <c r="AH10" i="23" s="1"/>
  <c r="AE9" i="23"/>
  <c r="AH9" i="23" s="1"/>
  <c r="AE8" i="23"/>
  <c r="AH8" i="23" s="1"/>
  <c r="AK13" i="22" l="1"/>
  <c r="AH12" i="22"/>
  <c r="AK12" i="22" s="1"/>
  <c r="AH11" i="22"/>
  <c r="AK11" i="22" s="1"/>
  <c r="AH10" i="22"/>
  <c r="AK10" i="22" s="1"/>
  <c r="AH9" i="22"/>
  <c r="AK9" i="22" s="1"/>
  <c r="AH8" i="22"/>
  <c r="AK8" i="22" s="1"/>
  <c r="AK14" i="22" l="1"/>
  <c r="AJ16" i="19"/>
  <c r="AN9" i="20" l="1"/>
  <c r="AN10" i="20"/>
  <c r="AN11" i="20"/>
  <c r="AN12" i="20"/>
  <c r="AN13" i="20"/>
  <c r="AN8" i="20"/>
  <c r="AR8" i="21"/>
  <c r="AP10" i="20"/>
  <c r="AN9" i="21"/>
  <c r="AN10" i="21"/>
  <c r="AN11" i="21"/>
  <c r="AN12" i="21"/>
  <c r="AN13" i="21"/>
  <c r="AN8" i="21"/>
  <c r="AK10" i="20"/>
  <c r="AK8" i="21" l="1"/>
  <c r="AH13" i="21" l="1"/>
  <c r="AK13" i="21" s="1"/>
  <c r="AH12" i="21"/>
  <c r="AK12" i="21" s="1"/>
  <c r="AH11" i="21"/>
  <c r="AK11" i="21" s="1"/>
  <c r="AH10" i="21"/>
  <c r="AK10" i="21" s="1"/>
  <c r="AK14" i="21" s="1"/>
  <c r="AH9" i="21"/>
  <c r="AK9" i="21" s="1"/>
  <c r="AH8" i="21"/>
  <c r="AH13" i="20" l="1"/>
  <c r="AK13" i="20" s="1"/>
  <c r="AH12" i="20"/>
  <c r="AK12" i="20" s="1"/>
  <c r="AH11" i="20"/>
  <c r="AK11" i="20" s="1"/>
  <c r="AH10" i="20"/>
  <c r="AH9" i="20"/>
  <c r="AK9" i="20" s="1"/>
  <c r="AH8" i="20"/>
  <c r="AK8" i="20" s="1"/>
  <c r="AK14" i="20" l="1"/>
  <c r="AH13" i="19" l="1"/>
  <c r="AK13" i="19" s="1"/>
  <c r="AH12" i="19"/>
  <c r="AK12" i="19" s="1"/>
  <c r="AH11" i="19"/>
  <c r="AK11" i="19" s="1"/>
  <c r="AH10" i="19"/>
  <c r="AK10" i="19" s="1"/>
  <c r="AH9" i="19"/>
  <c r="AK9" i="19" s="1"/>
  <c r="AH8" i="19"/>
  <c r="AK8" i="19" s="1"/>
  <c r="AK14" i="19" l="1"/>
  <c r="AA11" i="18"/>
  <c r="AJ11" i="18" s="1"/>
  <c r="AA10" i="18"/>
  <c r="AA9" i="18"/>
  <c r="AJ9" i="18" s="1"/>
  <c r="AA8" i="18"/>
  <c r="AJ8" i="18" s="1"/>
  <c r="AA7" i="18"/>
  <c r="AC7" i="18" s="1"/>
  <c r="AF7" i="18" s="1"/>
  <c r="AA6" i="18"/>
  <c r="AC6" i="18" s="1"/>
  <c r="AF6" i="18" s="1"/>
  <c r="AJ6" i="18" l="1"/>
  <c r="AL6" i="18" s="1"/>
  <c r="AC11" i="18"/>
  <c r="AF11" i="18" s="1"/>
  <c r="AC8" i="18"/>
  <c r="AF8" i="18" s="1"/>
  <c r="AL8" i="18" s="1"/>
  <c r="AJ7" i="18"/>
  <c r="AL7" i="18" s="1"/>
  <c r="AL11" i="18"/>
  <c r="AJ10" i="18"/>
  <c r="AE11" i="18"/>
  <c r="AC9" i="18"/>
  <c r="AF9" i="18" s="1"/>
  <c r="AL9" i="18" s="1"/>
  <c r="AC10" i="18"/>
  <c r="AF10" i="18" s="1"/>
  <c r="AA11" i="17"/>
  <c r="AJ11" i="17" s="1"/>
  <c r="AA10" i="17"/>
  <c r="AA9" i="17"/>
  <c r="AJ9" i="17" s="1"/>
  <c r="AA8" i="17"/>
  <c r="AJ8" i="17" s="1"/>
  <c r="AA7" i="17"/>
  <c r="AJ7" i="17" s="1"/>
  <c r="AA6" i="17"/>
  <c r="AC6" i="17" s="1"/>
  <c r="AF6" i="17" s="1"/>
  <c r="AL10" i="18" l="1"/>
  <c r="AL12" i="18" s="1"/>
  <c r="AJ12" i="18"/>
  <c r="AE10" i="18"/>
  <c r="AF12" i="18"/>
  <c r="AC9" i="17"/>
  <c r="AF9" i="17" s="1"/>
  <c r="AL9" i="17" s="1"/>
  <c r="AC7" i="17"/>
  <c r="AF7" i="17" s="1"/>
  <c r="AL7" i="17" s="1"/>
  <c r="AJ6" i="17"/>
  <c r="AC8" i="17"/>
  <c r="AF8" i="17" s="1"/>
  <c r="AL8" i="17" s="1"/>
  <c r="AC11" i="17"/>
  <c r="AJ10" i="17"/>
  <c r="AC10" i="17"/>
  <c r="AF10" i="17" s="1"/>
  <c r="AA7" i="16"/>
  <c r="AE10" i="17" l="1"/>
  <c r="AL10" i="17"/>
  <c r="AJ12" i="17"/>
  <c r="AF11" i="17"/>
  <c r="AE11" i="17"/>
  <c r="AL6" i="17"/>
  <c r="AA11" i="16"/>
  <c r="AC11" i="16" s="1"/>
  <c r="AF11" i="16" s="1"/>
  <c r="AA10" i="16"/>
  <c r="AJ10" i="16" s="1"/>
  <c r="AA9" i="16"/>
  <c r="AC9" i="16" s="1"/>
  <c r="AF9" i="16" s="1"/>
  <c r="AA8" i="16"/>
  <c r="AJ8" i="16" s="1"/>
  <c r="AC7" i="16"/>
  <c r="AF7" i="16" s="1"/>
  <c r="AA6" i="16"/>
  <c r="AC6" i="16" s="1"/>
  <c r="AF6" i="16" s="1"/>
  <c r="AL11" i="17" l="1"/>
  <c r="AL12" i="17" s="1"/>
  <c r="AF12" i="17"/>
  <c r="AJ7" i="16"/>
  <c r="AL7" i="16" s="1"/>
  <c r="AC8" i="16"/>
  <c r="AF8" i="16" s="1"/>
  <c r="AL8" i="16" s="1"/>
  <c r="AE11" i="16"/>
  <c r="AJ6" i="16"/>
  <c r="AL6" i="16" s="1"/>
  <c r="AC10" i="16"/>
  <c r="AJ9" i="16"/>
  <c r="AL9" i="16" s="1"/>
  <c r="AJ11" i="16"/>
  <c r="AJ12" i="16" l="1"/>
  <c r="AE10" i="16"/>
  <c r="AF10" i="16"/>
  <c r="AL11" i="16"/>
  <c r="AL10" i="16" l="1"/>
  <c r="AL12" i="16" s="1"/>
  <c r="AF12" i="16"/>
</calcChain>
</file>

<file path=xl/sharedStrings.xml><?xml version="1.0" encoding="utf-8"?>
<sst xmlns="http://schemas.openxmlformats.org/spreadsheetml/2006/main" count="665" uniqueCount="78">
  <si>
    <t>COLLEGE OF ARCHITECTURE</t>
  </si>
  <si>
    <t>Sardar Vallabhbhai Patel Institute of Technology (S.V.I.T.) Vasad.</t>
  </si>
  <si>
    <t>Statement of Visiting Staff Attendance</t>
  </si>
  <si>
    <t>Name of 
Visiting Staff</t>
  </si>
  <si>
    <t>Date’s of 
Attendance</t>
  </si>
  <si>
    <t>Total 
Attend
Days.</t>
  </si>
  <si>
    <t>Working
hours
per day</t>
  </si>
  <si>
    <t>Total 
Hours</t>
  </si>
  <si>
    <t>Rem. 
Per 
Hour Rs.</t>
  </si>
  <si>
    <t xml:space="preserve">Total Rem. 
Rs. (A)
</t>
  </si>
  <si>
    <r>
      <t xml:space="preserve">Travel Allow
</t>
    </r>
    <r>
      <rPr>
        <b/>
        <sz val="7"/>
        <color theme="1"/>
        <rFont val="Times New Roman"/>
        <family val="1"/>
      </rPr>
      <t>Per visit</t>
    </r>
  </si>
  <si>
    <t>Total Travel Allow. 
Rs. (B)</t>
  </si>
  <si>
    <t>Total Rs.</t>
  </si>
  <si>
    <t>Remarks</t>
  </si>
  <si>
    <t>Prof. Pragnesh Shah
I/C. Principal 
College of Architecture
SVIT- Vasad</t>
  </si>
  <si>
    <t>\</t>
  </si>
  <si>
    <r>
      <t xml:space="preserve">TOTAL B. ARCHITECTURE DEPT. VISITING STAFF SALARY RS. 
</t>
    </r>
    <r>
      <rPr>
        <b/>
        <sz val="12"/>
        <color theme="1"/>
        <rFont val="Arial"/>
        <family val="2"/>
      </rPr>
      <t>(ONE LACK ONE THOUSAND SEVEN HUNDRED ONLY)</t>
    </r>
  </si>
  <si>
    <t>PROF. PREETY SHAH</t>
  </si>
  <si>
    <t>PROF. NAMRATA VYAS</t>
  </si>
  <si>
    <t>PROF. TANIYA PATEL</t>
  </si>
  <si>
    <t>PROF. SUGURESH SULTANPUR</t>
  </si>
  <si>
    <t>PROF. HITEN J CHAVDA</t>
  </si>
  <si>
    <t>PROF. HARDIK N TAMBOLI</t>
  </si>
  <si>
    <r>
      <t xml:space="preserve">Month: - -Sep-2025                                            </t>
    </r>
    <r>
      <rPr>
        <b/>
        <u/>
        <sz val="12"/>
        <color theme="1"/>
        <rFont val="Times New Roman"/>
        <family val="1"/>
      </rPr>
      <t>Dept: B. Architecture</t>
    </r>
    <r>
      <rPr>
        <b/>
        <sz val="12"/>
        <color theme="1"/>
        <rFont val="Times New Roman"/>
        <family val="1"/>
      </rPr>
      <t xml:space="preserve">                                                                                                                 Date:-30-09-2025</t>
    </r>
  </si>
  <si>
    <t>00086</t>
  </si>
  <si>
    <t>00095</t>
  </si>
  <si>
    <t>00096</t>
  </si>
  <si>
    <t>01303</t>
  </si>
  <si>
    <t>01304</t>
  </si>
  <si>
    <t>01305</t>
  </si>
  <si>
    <t>Emp.
Code</t>
  </si>
  <si>
    <r>
      <t xml:space="preserve">Month: - -Oct-2025                                            </t>
    </r>
    <r>
      <rPr>
        <b/>
        <u/>
        <sz val="12"/>
        <color theme="1"/>
        <rFont val="Times New Roman"/>
        <family val="1"/>
      </rPr>
      <t>Dept: B. Architecture</t>
    </r>
    <r>
      <rPr>
        <b/>
        <sz val="12"/>
        <color theme="1"/>
        <rFont val="Times New Roman"/>
        <family val="1"/>
      </rPr>
      <t xml:space="preserve">                                                                                                                 Date:-31/10/2025</t>
    </r>
  </si>
  <si>
    <r>
      <t xml:space="preserve">Month: - -Nov-2025                                            </t>
    </r>
    <r>
      <rPr>
        <b/>
        <u/>
        <sz val="12"/>
        <color theme="1"/>
        <rFont val="Times New Roman"/>
        <family val="1"/>
      </rPr>
      <t>Dept: B. Architecture</t>
    </r>
    <r>
      <rPr>
        <b/>
        <sz val="12"/>
        <color theme="1"/>
        <rFont val="Times New Roman"/>
        <family val="1"/>
      </rPr>
      <t xml:space="preserve">                                                                                                                 Date:-31/10/2025</t>
    </r>
  </si>
  <si>
    <t>Mon</t>
  </si>
  <si>
    <t>Tue</t>
  </si>
  <si>
    <t>Thu</t>
  </si>
  <si>
    <t>wed</t>
  </si>
  <si>
    <t>thu</t>
  </si>
  <si>
    <t>fri</t>
  </si>
  <si>
    <t>sat</t>
  </si>
  <si>
    <t>sun</t>
  </si>
  <si>
    <t>Hiten Chavda Monday,Tuesday,Thursday</t>
  </si>
  <si>
    <t>Hardik Tamboli Wednesday &amp; Thursday</t>
  </si>
  <si>
    <t>Suguresh Sultanpur Wednesday &amp; Thursday</t>
  </si>
  <si>
    <t>2/3 Days In Week (Namrata Vyas)</t>
  </si>
  <si>
    <t>Week 1 Day 2000 Fix</t>
  </si>
  <si>
    <t>DAY'S TO ATTEND</t>
  </si>
  <si>
    <t>DAY'S ATTENDED DURING THE MONTH</t>
  </si>
  <si>
    <t xml:space="preserve">SALARY </t>
  </si>
  <si>
    <t>TOTAL SALARY FOR PAY</t>
  </si>
  <si>
    <t xml:space="preserve">TOTAL B. ARCHITECTURE DEPT. VISITING STAFF SALARY RS. </t>
  </si>
  <si>
    <t>She is appointed with Fix Salary of Rs. 75000/- (She has to be present on every Tuedsday, Wednesday &amp; Thursday of the month)</t>
  </si>
  <si>
    <t>Preety Shah She is appointed with Fix Salary of Rs. 75000/- (She has to be present on every Tuedsday, Wednesday &amp; Thursday of the month)</t>
  </si>
  <si>
    <t>Suguresh Sultanpur Tuesday &amp; Wednesday</t>
  </si>
  <si>
    <t>Taniya Patel Week 1 Day 2000 Fix</t>
  </si>
  <si>
    <t>Paid Amount</t>
  </si>
  <si>
    <t>Payable</t>
  </si>
  <si>
    <r>
      <t xml:space="preserve">Month: - -Dec-2025                                            </t>
    </r>
    <r>
      <rPr>
        <b/>
        <u/>
        <sz val="12"/>
        <color theme="1"/>
        <rFont val="Times New Roman"/>
        <family val="1"/>
      </rPr>
      <t>Dept: B. Architecture</t>
    </r>
    <r>
      <rPr>
        <b/>
        <sz val="12"/>
        <color theme="1"/>
        <rFont val="Times New Roman"/>
        <family val="1"/>
      </rPr>
      <t xml:space="preserve">                                                                                                                 Date:-31/12/2025</t>
    </r>
  </si>
  <si>
    <t>Preety Shah She is appointed with Fix Salary of Rs. 75000/- (She has to be present on every Monday,Tuedsday &amp; Wednesday of the month)</t>
  </si>
  <si>
    <t>Hiten Chavda Monday,Tuesday,Friday</t>
  </si>
  <si>
    <t>Hardik Tamboli Monday &amp; Thursday</t>
  </si>
  <si>
    <t>Tuesday &amp; Thursday</t>
  </si>
  <si>
    <t>Saturday</t>
  </si>
  <si>
    <t>Oct-2025 Extra Paid</t>
  </si>
  <si>
    <r>
      <t xml:space="preserve">Month: - -Jan 2026                                                                                                              </t>
    </r>
    <r>
      <rPr>
        <b/>
        <u/>
        <sz val="12"/>
        <color theme="1"/>
        <rFont val="Times New Roman"/>
        <family val="1"/>
      </rPr>
      <t>Dept: B. Architecture</t>
    </r>
    <r>
      <rPr>
        <b/>
        <sz val="12"/>
        <color theme="1"/>
        <rFont val="Times New Roman"/>
        <family val="1"/>
      </rPr>
      <t xml:space="preserve">                                                                                                                               Date:-31/01/2026</t>
    </r>
  </si>
  <si>
    <t>Prof. Preety Shah</t>
  </si>
  <si>
    <t>Prof. Suguresh Sultanpur</t>
  </si>
  <si>
    <t>Prof. Hiten Chavda</t>
  </si>
  <si>
    <t>DL For RSP Dt. 6th Jan 2026 To 10th Jan 2026</t>
  </si>
  <si>
    <t>5 Days</t>
  </si>
  <si>
    <t>DL For RSP Dt. 27th Jan 2026 To 1th Feb 2026</t>
  </si>
  <si>
    <t>6 Days</t>
  </si>
  <si>
    <r>
      <t xml:space="preserve">Month: - -Feb 2026                                                                                                             </t>
    </r>
    <r>
      <rPr>
        <b/>
        <u/>
        <sz val="12"/>
        <color theme="1"/>
        <rFont val="Times New Roman"/>
        <family val="1"/>
      </rPr>
      <t>Dept: B. Architecture</t>
    </r>
    <r>
      <rPr>
        <b/>
        <sz val="12"/>
        <color theme="1"/>
        <rFont val="Times New Roman"/>
        <family val="1"/>
      </rPr>
      <t xml:space="preserve">                                                                                                               Date:-28/02/2026</t>
    </r>
  </si>
  <si>
    <r>
      <t xml:space="preserve">Month: - -March 2026                                                                                                     </t>
    </r>
    <r>
      <rPr>
        <b/>
        <u/>
        <sz val="12"/>
        <color theme="1"/>
        <rFont val="Times New Roman"/>
        <family val="1"/>
      </rPr>
      <t>Dept: B. Architecture</t>
    </r>
    <r>
      <rPr>
        <b/>
        <sz val="12"/>
        <color theme="1"/>
        <rFont val="Times New Roman"/>
        <family val="1"/>
      </rPr>
      <t xml:space="preserve">                                                                                                               Date:-25/03/2026</t>
    </r>
  </si>
  <si>
    <r>
      <t xml:space="preserve">Month: - 25 March - 30 April 2026                                                                                                     </t>
    </r>
    <r>
      <rPr>
        <b/>
        <u/>
        <sz val="12"/>
        <color theme="1"/>
        <rFont val="Times New Roman"/>
        <family val="1"/>
      </rPr>
      <t>Dept: B. Architecture</t>
    </r>
    <r>
      <rPr>
        <b/>
        <sz val="12"/>
        <color theme="1"/>
        <rFont val="Times New Roman"/>
        <family val="1"/>
      </rPr>
      <t xml:space="preserve">                                                                                                               Date:-30/04/2026</t>
    </r>
  </si>
  <si>
    <r>
      <t xml:space="preserve">Month: - 01/05/2026 To 31/05/2026                                                                                                     </t>
    </r>
    <r>
      <rPr>
        <b/>
        <u/>
        <sz val="12"/>
        <color theme="1"/>
        <rFont val="Times New Roman"/>
        <family val="1"/>
      </rPr>
      <t>Dept: B. Architecture</t>
    </r>
    <r>
      <rPr>
        <b/>
        <sz val="12"/>
        <color theme="1"/>
        <rFont val="Times New Roman"/>
        <family val="1"/>
      </rPr>
      <t xml:space="preserve">                                                                                                               Date:-30/05/2026</t>
    </r>
  </si>
  <si>
    <r>
      <rPr>
        <b/>
        <sz val="11"/>
        <color theme="1"/>
        <rFont val="Calibri"/>
        <family val="2"/>
        <scheme val="minor"/>
      </rPr>
      <t xml:space="preserve">Preety Shah : </t>
    </r>
    <r>
      <rPr>
        <sz val="11"/>
        <color theme="1"/>
        <rFont val="Calibri"/>
        <family val="2"/>
        <scheme val="minor"/>
      </rPr>
      <t xml:space="preserve">Date 30/05/2026 Present for Extra Days </t>
    </r>
  </si>
  <si>
    <r>
      <t xml:space="preserve">Month: - 01/06/2026 To 30/06/2026                                                                                  </t>
    </r>
    <r>
      <rPr>
        <b/>
        <u/>
        <sz val="12"/>
        <color theme="1"/>
        <rFont val="Times New Roman"/>
        <family val="1"/>
      </rPr>
      <t>Dept: B. Architecture</t>
    </r>
    <r>
      <rPr>
        <b/>
        <sz val="12"/>
        <color theme="1"/>
        <rFont val="Times New Roman"/>
        <family val="1"/>
      </rPr>
      <t xml:space="preserve">                                                                                                               Date:-30/06/2026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</si>
</sst>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3" fontId="9" fillId="2" borderId="2" xfId="0" applyNumberFormat="1" applyFont="1" applyFill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center" vertical="center" wrapText="1"/>
    </xf>
    <xf numFmtId="3" fontId="9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3" borderId="0" xfId="0" applyFill="1"/>
    <xf numFmtId="0" fontId="11" fillId="2" borderId="2" xfId="0" applyFont="1" applyFill="1" applyBorder="1" applyAlignment="1">
      <alignment horizontal="center" vertical="center"/>
    </xf>
    <xf numFmtId="0" fontId="0" fillId="3" borderId="0" xfId="0" applyFill="1" applyBorder="1"/>
    <xf numFmtId="0" fontId="0" fillId="2" borderId="2" xfId="0" applyFill="1" applyBorder="1" applyAlignment="1">
      <alignment horizontal="center" vertical="center" wrapText="1"/>
    </xf>
    <xf numFmtId="3" fontId="10" fillId="2" borderId="0" xfId="0" applyNumberFormat="1" applyFont="1" applyFill="1" applyBorder="1" applyAlignment="1">
      <alignment horizontal="center" vertical="center" wrapText="1"/>
    </xf>
    <xf numFmtId="3" fontId="9" fillId="2" borderId="0" xfId="0" applyNumberFormat="1" applyFont="1" applyFill="1" applyBorder="1" applyAlignment="1">
      <alignment horizontal="center" vertical="center" wrapText="1"/>
    </xf>
    <xf numFmtId="3" fontId="9" fillId="2" borderId="0" xfId="0" applyNumberFormat="1" applyFont="1" applyFill="1" applyBorder="1" applyAlignment="1">
      <alignment horizontal="center" vertical="center"/>
    </xf>
    <xf numFmtId="0" fontId="0" fillId="0" borderId="0" xfId="0" applyBorder="1"/>
    <xf numFmtId="3" fontId="10" fillId="2" borderId="2" xfId="0" applyNumberFormat="1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12" fillId="2" borderId="4" xfId="0" applyFont="1" applyFill="1" applyBorder="1" applyAlignment="1">
      <alignment horizontal="left" vertical="center" wrapText="1"/>
    </xf>
    <xf numFmtId="3" fontId="10" fillId="2" borderId="5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wrapText="1"/>
    </xf>
    <xf numFmtId="3" fontId="10" fillId="2" borderId="5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0" borderId="2" xfId="0" quotePrefix="1" applyFont="1" applyBorder="1" applyAlignment="1">
      <alignment horizontal="center" vertical="center" wrapText="1"/>
    </xf>
    <xf numFmtId="0" fontId="15" fillId="0" borderId="2" xfId="0" quotePrefix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left" vertical="center" wrapText="1"/>
    </xf>
    <xf numFmtId="3" fontId="10" fillId="2" borderId="5" xfId="0" applyNumberFormat="1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/>
    </xf>
    <xf numFmtId="3" fontId="0" fillId="3" borderId="0" xfId="0" applyNumberFormat="1" applyFill="1"/>
    <xf numFmtId="4" fontId="15" fillId="0" borderId="2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5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3" fontId="15" fillId="0" borderId="2" xfId="0" applyNumberFormat="1" applyFont="1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wrapText="1"/>
    </xf>
    <xf numFmtId="0" fontId="15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3" fontId="19" fillId="2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3" fontId="19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" fontId="16" fillId="0" borderId="2" xfId="0" applyNumberFormat="1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4" fillId="0" borderId="0" xfId="0" applyFont="1" applyBorder="1" applyAlignment="1">
      <alignment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3" fontId="16" fillId="0" borderId="6" xfId="0" applyNumberFormat="1" applyFont="1" applyBorder="1" applyAlignment="1">
      <alignment horizontal="center" vertical="center" wrapText="1"/>
    </xf>
    <xf numFmtId="3" fontId="16" fillId="0" borderId="7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center" vertical="center"/>
    </xf>
    <xf numFmtId="3" fontId="10" fillId="2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B88B-913D-46B9-A98D-EE3F3F2842E0}">
  <dimension ref="A1:AR43"/>
  <sheetViews>
    <sheetView tabSelected="1" view="pageBreakPreview" zoomScaleSheetLayoutView="100" workbookViewId="0">
      <selection activeCell="AH9" sqref="AH9"/>
    </sheetView>
  </sheetViews>
  <sheetFormatPr defaultRowHeight="14.4" x14ac:dyDescent="0.3"/>
  <cols>
    <col min="1" max="1" width="7.109375" style="47" bestFit="1" customWidth="1"/>
    <col min="2" max="2" width="31.6640625" style="84" bestFit="1" customWidth="1"/>
    <col min="3" max="3" width="4.109375" style="47" bestFit="1" customWidth="1"/>
    <col min="4" max="4" width="3.109375" style="47" bestFit="1" customWidth="1"/>
    <col min="5" max="5" width="3.33203125" style="47" bestFit="1" customWidth="1"/>
    <col min="6" max="6" width="3.77734375" style="47" bestFit="1" customWidth="1"/>
    <col min="7" max="7" width="4.77734375" style="47" customWidth="1"/>
    <col min="8" max="8" width="4" style="47" bestFit="1" customWidth="1"/>
    <col min="9" max="9" width="4.33203125" style="47" bestFit="1" customWidth="1"/>
    <col min="10" max="10" width="4.109375" style="47" bestFit="1" customWidth="1"/>
    <col min="11" max="11" width="3.109375" style="47" bestFit="1" customWidth="1"/>
    <col min="12" max="12" width="3.33203125" style="47" customWidth="1"/>
    <col min="13" max="13" width="3.77734375" style="47" bestFit="1" customWidth="1"/>
    <col min="14" max="14" width="4.77734375" style="47" bestFit="1" customWidth="1"/>
    <col min="15" max="15" width="3.88671875" style="47" customWidth="1"/>
    <col min="16" max="16" width="4.33203125" style="47" bestFit="1" customWidth="1"/>
    <col min="17" max="17" width="4.109375" style="47" bestFit="1" customWidth="1"/>
    <col min="18" max="18" width="3.109375" style="47" bestFit="1" customWidth="1"/>
    <col min="19" max="19" width="3.33203125" style="47" bestFit="1" customWidth="1"/>
    <col min="20" max="20" width="3.77734375" style="47" bestFit="1" customWidth="1"/>
    <col min="21" max="21" width="3" style="47" bestFit="1" customWidth="1"/>
    <col min="22" max="22" width="3.109375" style="47" bestFit="1" customWidth="1"/>
    <col min="23" max="23" width="3.33203125" style="47" bestFit="1" customWidth="1"/>
    <col min="24" max="24" width="4.109375" style="47" bestFit="1" customWidth="1"/>
    <col min="25" max="25" width="3.109375" style="47" bestFit="1" customWidth="1"/>
    <col min="26" max="26" width="3.33203125" style="47" bestFit="1" customWidth="1"/>
    <col min="27" max="27" width="3.77734375" style="47" bestFit="1" customWidth="1"/>
    <col min="28" max="28" width="3" style="47" bestFit="1" customWidth="1"/>
    <col min="29" max="29" width="3.109375" style="47" bestFit="1" customWidth="1"/>
    <col min="30" max="30" width="3.33203125" style="47" bestFit="1" customWidth="1"/>
    <col min="31" max="32" width="3" style="47" bestFit="1" customWidth="1"/>
    <col min="33" max="33" width="9" style="47" customWidth="1"/>
    <col min="34" max="34" width="11.33203125" style="47" customWidth="1"/>
    <col min="35" max="35" width="8.88671875" style="47" customWidth="1"/>
    <col min="36" max="36" width="12.5546875" style="62" customWidth="1"/>
    <col min="37" max="16384" width="8.88671875" style="47"/>
  </cols>
  <sheetData>
    <row r="1" spans="1:44" ht="17.399999999999999" x14ac:dyDescent="0.3"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</row>
    <row r="2" spans="1:44" ht="15.6" x14ac:dyDescent="0.3">
      <c r="B2" s="88" t="s">
        <v>1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44" ht="15.6" x14ac:dyDescent="0.3">
      <c r="B3" s="89" t="s">
        <v>2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</row>
    <row r="4" spans="1:44" ht="15.6" customHeight="1" x14ac:dyDescent="0.3">
      <c r="A4" s="90" t="s">
        <v>77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</row>
    <row r="5" spans="1:44" ht="34.799999999999997" customHeight="1" x14ac:dyDescent="0.3">
      <c r="A5" s="91" t="s">
        <v>30</v>
      </c>
      <c r="B5" s="92" t="s">
        <v>3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80"/>
      <c r="AC5" s="80"/>
      <c r="AD5" s="80"/>
      <c r="AE5" s="80"/>
      <c r="AF5" s="80"/>
      <c r="AG5" s="94" t="s">
        <v>46</v>
      </c>
      <c r="AH5" s="94" t="s">
        <v>47</v>
      </c>
      <c r="AI5" s="91" t="s">
        <v>48</v>
      </c>
      <c r="AJ5" s="96" t="s">
        <v>49</v>
      </c>
    </row>
    <row r="6" spans="1:44" ht="26.4" customHeight="1" x14ac:dyDescent="0.3">
      <c r="A6" s="91"/>
      <c r="B6" s="92"/>
      <c r="C6" s="86">
        <v>1</v>
      </c>
      <c r="D6" s="86">
        <v>2</v>
      </c>
      <c r="E6" s="86">
        <v>3</v>
      </c>
      <c r="F6" s="86">
        <v>4</v>
      </c>
      <c r="G6" s="86">
        <v>5</v>
      </c>
      <c r="H6" s="86">
        <v>6</v>
      </c>
      <c r="I6" s="86">
        <v>7</v>
      </c>
      <c r="J6" s="86">
        <v>8</v>
      </c>
      <c r="K6" s="86">
        <v>9</v>
      </c>
      <c r="L6" s="86">
        <v>10</v>
      </c>
      <c r="M6" s="86">
        <v>11</v>
      </c>
      <c r="N6" s="86">
        <v>12</v>
      </c>
      <c r="O6" s="86">
        <v>13</v>
      </c>
      <c r="P6" s="86">
        <v>14</v>
      </c>
      <c r="Q6" s="86">
        <v>15</v>
      </c>
      <c r="R6" s="86">
        <v>16</v>
      </c>
      <c r="S6" s="86">
        <v>17</v>
      </c>
      <c r="T6" s="86">
        <v>18</v>
      </c>
      <c r="U6" s="86">
        <v>19</v>
      </c>
      <c r="V6" s="86">
        <v>20</v>
      </c>
      <c r="W6" s="86">
        <v>21</v>
      </c>
      <c r="X6" s="86">
        <v>22</v>
      </c>
      <c r="Y6" s="86">
        <v>23</v>
      </c>
      <c r="Z6" s="86">
        <v>24</v>
      </c>
      <c r="AA6" s="86">
        <v>25</v>
      </c>
      <c r="AB6" s="86">
        <v>26</v>
      </c>
      <c r="AC6" s="86">
        <v>27</v>
      </c>
      <c r="AD6" s="86">
        <v>28</v>
      </c>
      <c r="AE6" s="86">
        <v>29</v>
      </c>
      <c r="AF6" s="86">
        <v>30</v>
      </c>
      <c r="AG6" s="94"/>
      <c r="AH6" s="94"/>
      <c r="AI6" s="91"/>
      <c r="AJ6" s="96"/>
    </row>
    <row r="7" spans="1:44" ht="26.4" x14ac:dyDescent="0.3">
      <c r="A7" s="91"/>
      <c r="B7" s="92"/>
      <c r="C7" s="86" t="s">
        <v>33</v>
      </c>
      <c r="D7" s="86" t="s">
        <v>34</v>
      </c>
      <c r="E7" s="86" t="s">
        <v>36</v>
      </c>
      <c r="F7" s="86" t="s">
        <v>35</v>
      </c>
      <c r="G7" s="86" t="s">
        <v>38</v>
      </c>
      <c r="H7" s="86" t="s">
        <v>39</v>
      </c>
      <c r="I7" s="86" t="s">
        <v>40</v>
      </c>
      <c r="J7" s="86" t="s">
        <v>33</v>
      </c>
      <c r="K7" s="86" t="s">
        <v>34</v>
      </c>
      <c r="L7" s="86" t="s">
        <v>36</v>
      </c>
      <c r="M7" s="86" t="s">
        <v>35</v>
      </c>
      <c r="N7" s="86" t="s">
        <v>38</v>
      </c>
      <c r="O7" s="86" t="s">
        <v>39</v>
      </c>
      <c r="P7" s="86" t="s">
        <v>40</v>
      </c>
      <c r="Q7" s="86" t="s">
        <v>33</v>
      </c>
      <c r="R7" s="86" t="s">
        <v>34</v>
      </c>
      <c r="S7" s="86" t="s">
        <v>36</v>
      </c>
      <c r="T7" s="86" t="s">
        <v>35</v>
      </c>
      <c r="U7" s="86" t="s">
        <v>38</v>
      </c>
      <c r="V7" s="86" t="s">
        <v>39</v>
      </c>
      <c r="W7" s="86" t="s">
        <v>40</v>
      </c>
      <c r="X7" s="86" t="s">
        <v>33</v>
      </c>
      <c r="Y7" s="86" t="s">
        <v>34</v>
      </c>
      <c r="Z7" s="86" t="s">
        <v>36</v>
      </c>
      <c r="AA7" s="86" t="s">
        <v>35</v>
      </c>
      <c r="AB7" s="86" t="s">
        <v>38</v>
      </c>
      <c r="AC7" s="86" t="s">
        <v>39</v>
      </c>
      <c r="AD7" s="86" t="s">
        <v>40</v>
      </c>
      <c r="AE7" s="86" t="s">
        <v>33</v>
      </c>
      <c r="AF7" s="86" t="s">
        <v>34</v>
      </c>
      <c r="AG7" s="94"/>
      <c r="AH7" s="94"/>
      <c r="AI7" s="91"/>
      <c r="AJ7" s="96"/>
    </row>
    <row r="8" spans="1:44" s="54" customFormat="1" ht="17.399999999999999" x14ac:dyDescent="0.3">
      <c r="A8" s="30" t="s">
        <v>24</v>
      </c>
      <c r="B8" s="48" t="s">
        <v>17</v>
      </c>
      <c r="C8" s="76"/>
      <c r="D8" s="76">
        <v>1</v>
      </c>
      <c r="E8" s="76">
        <v>1</v>
      </c>
      <c r="F8" s="74">
        <v>1</v>
      </c>
      <c r="G8" s="74">
        <v>1</v>
      </c>
      <c r="H8" s="74">
        <v>1</v>
      </c>
      <c r="I8" s="74"/>
      <c r="J8" s="76"/>
      <c r="K8" s="76"/>
      <c r="L8" s="76"/>
      <c r="M8" s="74"/>
      <c r="N8" s="74"/>
      <c r="O8" s="74"/>
      <c r="P8" s="74"/>
      <c r="Q8" s="76"/>
      <c r="R8" s="76">
        <v>1</v>
      </c>
      <c r="S8" s="76">
        <v>1</v>
      </c>
      <c r="T8" s="74">
        <v>1</v>
      </c>
      <c r="U8" s="74">
        <v>1</v>
      </c>
      <c r="V8" s="74"/>
      <c r="W8" s="74"/>
      <c r="X8" s="76">
        <v>1</v>
      </c>
      <c r="Y8" s="76">
        <v>1</v>
      </c>
      <c r="Z8" s="76">
        <v>1</v>
      </c>
      <c r="AA8" s="74"/>
      <c r="AB8" s="74"/>
      <c r="AC8" s="74"/>
      <c r="AD8" s="74"/>
      <c r="AE8" s="76">
        <v>1</v>
      </c>
      <c r="AF8" s="76">
        <v>1</v>
      </c>
      <c r="AG8" s="9">
        <f>COUNT(C8:AF8)</f>
        <v>14</v>
      </c>
      <c r="AH8" s="9">
        <v>14</v>
      </c>
      <c r="AI8" s="51">
        <v>75000</v>
      </c>
      <c r="AJ8" s="52">
        <f>AI8/AH8*AG8</f>
        <v>75000</v>
      </c>
      <c r="AL8" s="55"/>
    </row>
    <row r="9" spans="1:44" s="54" customFormat="1" ht="17.399999999999999" x14ac:dyDescent="0.3">
      <c r="A9" s="30" t="s">
        <v>25</v>
      </c>
      <c r="B9" s="48" t="s">
        <v>18</v>
      </c>
      <c r="C9" s="74"/>
      <c r="D9" s="76"/>
      <c r="E9" s="74"/>
      <c r="F9" s="76"/>
      <c r="G9" s="74"/>
      <c r="H9" s="74"/>
      <c r="I9" s="74"/>
      <c r="J9" s="74"/>
      <c r="K9" s="76"/>
      <c r="L9" s="74"/>
      <c r="M9" s="76"/>
      <c r="N9" s="74"/>
      <c r="O9" s="74"/>
      <c r="P9" s="74"/>
      <c r="Q9" s="74"/>
      <c r="R9" s="76"/>
      <c r="S9" s="74"/>
      <c r="T9" s="76"/>
      <c r="U9" s="74"/>
      <c r="V9" s="74"/>
      <c r="W9" s="74"/>
      <c r="X9" s="74"/>
      <c r="Y9" s="76"/>
      <c r="Z9" s="74"/>
      <c r="AA9" s="76"/>
      <c r="AB9" s="74"/>
      <c r="AC9" s="74"/>
      <c r="AD9" s="74"/>
      <c r="AE9" s="74"/>
      <c r="AF9" s="76"/>
      <c r="AG9" s="9">
        <f>COUNT(C9:AF9)</f>
        <v>0</v>
      </c>
      <c r="AH9" s="9">
        <v>8</v>
      </c>
      <c r="AI9" s="51">
        <v>26400</v>
      </c>
      <c r="AJ9" s="52">
        <f>AI9/AH9*AG9</f>
        <v>0</v>
      </c>
    </row>
    <row r="10" spans="1:44" ht="17.399999999999999" x14ac:dyDescent="0.3">
      <c r="A10" s="30" t="s">
        <v>28</v>
      </c>
      <c r="B10" s="48" t="s">
        <v>21</v>
      </c>
      <c r="C10" s="76"/>
      <c r="D10" s="76"/>
      <c r="E10" s="74"/>
      <c r="F10" s="74"/>
      <c r="G10" s="76"/>
      <c r="H10" s="74"/>
      <c r="I10" s="74"/>
      <c r="J10" s="76"/>
      <c r="K10" s="76"/>
      <c r="L10" s="74"/>
      <c r="M10" s="74"/>
      <c r="N10" s="76"/>
      <c r="O10" s="74"/>
      <c r="P10" s="74"/>
      <c r="Q10" s="76">
        <v>1</v>
      </c>
      <c r="R10" s="76">
        <v>1</v>
      </c>
      <c r="S10" s="74"/>
      <c r="T10" s="74"/>
      <c r="U10" s="76"/>
      <c r="V10" s="74"/>
      <c r="W10" s="74"/>
      <c r="X10" s="76"/>
      <c r="Y10" s="76"/>
      <c r="Z10" s="74">
        <v>1</v>
      </c>
      <c r="AA10" s="74"/>
      <c r="AB10" s="76"/>
      <c r="AC10" s="74"/>
      <c r="AD10" s="74"/>
      <c r="AE10" s="76">
        <v>1</v>
      </c>
      <c r="AF10" s="76"/>
      <c r="AG10" s="9">
        <f>COUNT(C10:AF10)</f>
        <v>4</v>
      </c>
      <c r="AH10" s="9">
        <v>14</v>
      </c>
      <c r="AI10" s="59">
        <v>42000</v>
      </c>
      <c r="AJ10" s="52">
        <f t="shared" ref="AJ10:AJ11" si="0">AI10/AH10*AG10</f>
        <v>12000</v>
      </c>
      <c r="AL10" s="18"/>
      <c r="AM10" s="60"/>
      <c r="AN10" s="60"/>
      <c r="AO10" s="60"/>
      <c r="AP10" s="60"/>
      <c r="AQ10" s="60"/>
      <c r="AR10" s="60"/>
    </row>
    <row r="11" spans="1:44" ht="17.399999999999999" x14ac:dyDescent="0.3">
      <c r="A11" s="30" t="s">
        <v>29</v>
      </c>
      <c r="B11" s="48" t="s">
        <v>22</v>
      </c>
      <c r="C11" s="76"/>
      <c r="D11" s="74"/>
      <c r="E11" s="74"/>
      <c r="F11" s="76"/>
      <c r="G11" s="74"/>
      <c r="H11" s="74"/>
      <c r="I11" s="74"/>
      <c r="J11" s="76"/>
      <c r="K11" s="74"/>
      <c r="L11" s="74"/>
      <c r="M11" s="76"/>
      <c r="N11" s="74"/>
      <c r="O11" s="74"/>
      <c r="P11" s="74"/>
      <c r="Q11" s="76"/>
      <c r="R11" s="74"/>
      <c r="S11" s="74"/>
      <c r="T11" s="76"/>
      <c r="U11" s="74"/>
      <c r="V11" s="74"/>
      <c r="W11" s="74"/>
      <c r="X11" s="76"/>
      <c r="Y11" s="74"/>
      <c r="Z11" s="74"/>
      <c r="AA11" s="76"/>
      <c r="AB11" s="74"/>
      <c r="AC11" s="74"/>
      <c r="AD11" s="74"/>
      <c r="AE11" s="76"/>
      <c r="AF11" s="74"/>
      <c r="AG11" s="9">
        <f>COUNT(C11:AF11)</f>
        <v>0</v>
      </c>
      <c r="AH11" s="9">
        <v>8</v>
      </c>
      <c r="AI11" s="51">
        <v>26400</v>
      </c>
      <c r="AJ11" s="52">
        <f t="shared" si="0"/>
        <v>0</v>
      </c>
      <c r="AL11" s="18"/>
      <c r="AM11" s="60"/>
      <c r="AN11" s="60"/>
      <c r="AO11" s="60"/>
      <c r="AP11" s="60"/>
      <c r="AQ11" s="60"/>
      <c r="AR11" s="60"/>
    </row>
    <row r="12" spans="1:44" ht="17.399999999999999" customHeight="1" x14ac:dyDescent="0.3">
      <c r="A12" s="97" t="s">
        <v>50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9"/>
      <c r="AJ12" s="68">
        <f>SUM(AJ8:AJ11)</f>
        <v>87000</v>
      </c>
    </row>
    <row r="14" spans="1:44" x14ac:dyDescent="0.3">
      <c r="AI14" s="65"/>
    </row>
    <row r="18" spans="2:36" ht="14.4" customHeight="1" x14ac:dyDescent="0.3">
      <c r="B18" s="100" t="s">
        <v>14</v>
      </c>
      <c r="C18" s="100"/>
      <c r="D18" s="100"/>
      <c r="E18" s="100"/>
      <c r="F18" s="100"/>
      <c r="G18" s="100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85"/>
      <c r="AF18" s="85"/>
    </row>
    <row r="19" spans="2:36" ht="14.4" customHeight="1" x14ac:dyDescent="0.3">
      <c r="B19" s="100"/>
      <c r="C19" s="100"/>
      <c r="D19" s="100"/>
      <c r="E19" s="100"/>
      <c r="F19" s="100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85"/>
      <c r="AF19" s="85"/>
    </row>
    <row r="20" spans="2:36" ht="14.4" customHeight="1" x14ac:dyDescent="0.3">
      <c r="B20" s="100"/>
      <c r="C20" s="100"/>
      <c r="D20" s="100"/>
      <c r="E20" s="100"/>
      <c r="F20" s="100"/>
      <c r="G20" s="100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85"/>
      <c r="AF20" s="85"/>
    </row>
    <row r="21" spans="2:36" x14ac:dyDescent="0.3">
      <c r="B21" s="100"/>
      <c r="C21" s="100"/>
      <c r="D21" s="100"/>
      <c r="E21" s="100"/>
      <c r="F21" s="100"/>
      <c r="G21" s="100"/>
    </row>
    <row r="22" spans="2:36" ht="18" customHeight="1" x14ac:dyDescent="0.3">
      <c r="B22" s="103" t="s">
        <v>58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</row>
    <row r="23" spans="2:36" s="84" customFormat="1" ht="14.4" customHeight="1" x14ac:dyDescent="0.3">
      <c r="B23" s="95" t="s">
        <v>59</v>
      </c>
      <c r="C23" s="95"/>
      <c r="D23" s="95"/>
      <c r="E23" s="95"/>
      <c r="F23" s="95"/>
      <c r="G23" s="95"/>
      <c r="H23" s="95"/>
      <c r="I23" s="95"/>
      <c r="J23" s="95"/>
      <c r="AJ23" s="64"/>
    </row>
    <row r="24" spans="2:36" s="84" customFormat="1" x14ac:dyDescent="0.3">
      <c r="B24" s="95" t="s">
        <v>60</v>
      </c>
      <c r="C24" s="95"/>
      <c r="D24" s="95"/>
      <c r="E24" s="95"/>
      <c r="F24" s="95"/>
      <c r="G24" s="95"/>
      <c r="H24" s="95"/>
      <c r="I24" s="95"/>
      <c r="J24" s="95"/>
      <c r="AJ24" s="64"/>
    </row>
    <row r="25" spans="2:36" s="84" customFormat="1" ht="14.4" customHeight="1" x14ac:dyDescent="0.3">
      <c r="B25" s="95" t="s">
        <v>53</v>
      </c>
      <c r="C25" s="95"/>
      <c r="D25" s="95"/>
      <c r="E25" s="95"/>
      <c r="F25" s="95"/>
      <c r="G25" s="95"/>
      <c r="H25" s="95"/>
      <c r="I25" s="95"/>
      <c r="J25" s="95"/>
      <c r="AJ25" s="64"/>
    </row>
    <row r="26" spans="2:36" s="84" customFormat="1" x14ac:dyDescent="0.3">
      <c r="B26" s="84" t="s">
        <v>44</v>
      </c>
      <c r="C26" s="95" t="s">
        <v>61</v>
      </c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AJ26" s="64"/>
    </row>
    <row r="27" spans="2:36" s="84" customFormat="1" x14ac:dyDescent="0.3">
      <c r="B27" s="84" t="s">
        <v>54</v>
      </c>
      <c r="C27" s="95" t="s">
        <v>62</v>
      </c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AJ27" s="64"/>
    </row>
    <row r="43" spans="7:7" x14ac:dyDescent="0.3">
      <c r="G43" s="47" t="s">
        <v>15</v>
      </c>
    </row>
  </sheetData>
  <mergeCells count="25">
    <mergeCell ref="B22:AJ22"/>
    <mergeCell ref="B23:J23"/>
    <mergeCell ref="B24:J24"/>
    <mergeCell ref="B25:J25"/>
    <mergeCell ref="C26:R26"/>
    <mergeCell ref="C27:R27"/>
    <mergeCell ref="AJ5:AJ7"/>
    <mergeCell ref="A12:AI12"/>
    <mergeCell ref="B18:G21"/>
    <mergeCell ref="H18:N18"/>
    <mergeCell ref="O18:AD18"/>
    <mergeCell ref="H19:N19"/>
    <mergeCell ref="O19:AD19"/>
    <mergeCell ref="H20:N20"/>
    <mergeCell ref="O20:AD20"/>
    <mergeCell ref="B1:AJ1"/>
    <mergeCell ref="B2:AJ2"/>
    <mergeCell ref="B3:AJ3"/>
    <mergeCell ref="A4:AJ4"/>
    <mergeCell ref="A5:A7"/>
    <mergeCell ref="B5:B7"/>
    <mergeCell ref="C5:AA5"/>
    <mergeCell ref="AG5:AG7"/>
    <mergeCell ref="AH5:AH7"/>
    <mergeCell ref="AI5:AI7"/>
  </mergeCells>
  <printOptions horizontalCentered="1"/>
  <pageMargins left="0.23622047244094491" right="0.15748031496062992" top="0.59055118110236227" bottom="0.15748031496062992" header="0.15748031496062992" footer="0.15748031496062992"/>
  <pageSetup paperSize="9"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9EF0-CD48-4811-84A0-ACC757EF4199}">
  <dimension ref="A1:AS43"/>
  <sheetViews>
    <sheetView view="pageBreakPreview" topLeftCell="A4" zoomScaleSheetLayoutView="100" workbookViewId="0">
      <selection activeCell="B9" sqref="B9"/>
    </sheetView>
  </sheetViews>
  <sheetFormatPr defaultRowHeight="14.4" x14ac:dyDescent="0.3"/>
  <cols>
    <col min="1" max="1" width="7.109375" style="47" bestFit="1" customWidth="1"/>
    <col min="2" max="2" width="31.6640625" style="82" bestFit="1" customWidth="1"/>
    <col min="3" max="3" width="4.109375" style="47" bestFit="1" customWidth="1"/>
    <col min="4" max="4" width="3.109375" style="47" bestFit="1" customWidth="1"/>
    <col min="5" max="5" width="3.33203125" style="47" bestFit="1" customWidth="1"/>
    <col min="6" max="6" width="3.77734375" style="47" bestFit="1" customWidth="1"/>
    <col min="7" max="7" width="4.77734375" style="47" customWidth="1"/>
    <col min="8" max="8" width="4" style="47" bestFit="1" customWidth="1"/>
    <col min="9" max="9" width="4.33203125" style="47" bestFit="1" customWidth="1"/>
    <col min="10" max="10" width="4.109375" style="47" bestFit="1" customWidth="1"/>
    <col min="11" max="11" width="3.109375" style="47" bestFit="1" customWidth="1"/>
    <col min="12" max="12" width="3.33203125" style="47" customWidth="1"/>
    <col min="13" max="13" width="3.77734375" style="47" bestFit="1" customWidth="1"/>
    <col min="14" max="14" width="4.77734375" style="47" bestFit="1" customWidth="1"/>
    <col min="15" max="15" width="3.88671875" style="47" customWidth="1"/>
    <col min="16" max="16" width="4.33203125" style="47" bestFit="1" customWidth="1"/>
    <col min="17" max="17" width="4.109375" style="47" bestFit="1" customWidth="1"/>
    <col min="18" max="18" width="3.109375" style="47" bestFit="1" customWidth="1"/>
    <col min="19" max="19" width="3.33203125" style="47" bestFit="1" customWidth="1"/>
    <col min="20" max="20" width="3.77734375" style="47" bestFit="1" customWidth="1"/>
    <col min="21" max="21" width="3" style="47" bestFit="1" customWidth="1"/>
    <col min="22" max="22" width="3.109375" style="47" bestFit="1" customWidth="1"/>
    <col min="23" max="23" width="3.33203125" style="47" bestFit="1" customWidth="1"/>
    <col min="24" max="24" width="4.109375" style="47" bestFit="1" customWidth="1"/>
    <col min="25" max="25" width="3.109375" style="47" bestFit="1" customWidth="1"/>
    <col min="26" max="26" width="3.33203125" style="47" bestFit="1" customWidth="1"/>
    <col min="27" max="27" width="3.77734375" style="47" bestFit="1" customWidth="1"/>
    <col min="28" max="28" width="3" style="47" bestFit="1" customWidth="1"/>
    <col min="29" max="29" width="3.109375" style="47" bestFit="1" customWidth="1"/>
    <col min="30" max="30" width="3.33203125" style="47" bestFit="1" customWidth="1"/>
    <col min="31" max="32" width="3" style="47" bestFit="1" customWidth="1"/>
    <col min="33" max="33" width="3" style="47" customWidth="1"/>
    <col min="34" max="34" width="9" style="47" customWidth="1"/>
    <col min="35" max="35" width="11.33203125" style="47" customWidth="1"/>
    <col min="36" max="36" width="8.88671875" style="47" customWidth="1"/>
    <col min="37" max="37" width="12.5546875" style="62" customWidth="1"/>
    <col min="38" max="16384" width="8.88671875" style="47"/>
  </cols>
  <sheetData>
    <row r="1" spans="1:45" ht="17.399999999999999" x14ac:dyDescent="0.3"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</row>
    <row r="2" spans="1:45" ht="15.6" x14ac:dyDescent="0.3">
      <c r="B2" s="88" t="s">
        <v>1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</row>
    <row r="3" spans="1:45" ht="15.6" x14ac:dyDescent="0.3">
      <c r="B3" s="89" t="s">
        <v>2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</row>
    <row r="4" spans="1:45" ht="15.6" customHeight="1" x14ac:dyDescent="0.3">
      <c r="A4" s="90" t="s">
        <v>75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</row>
    <row r="5" spans="1:45" ht="34.799999999999997" customHeight="1" x14ac:dyDescent="0.3">
      <c r="A5" s="91" t="s">
        <v>30</v>
      </c>
      <c r="B5" s="92" t="s">
        <v>3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80"/>
      <c r="AC5" s="80"/>
      <c r="AD5" s="80"/>
      <c r="AE5" s="80"/>
      <c r="AF5" s="80"/>
      <c r="AG5" s="80"/>
      <c r="AH5" s="94" t="s">
        <v>46</v>
      </c>
      <c r="AI5" s="94" t="s">
        <v>47</v>
      </c>
      <c r="AJ5" s="91" t="s">
        <v>48</v>
      </c>
      <c r="AK5" s="96" t="s">
        <v>49</v>
      </c>
    </row>
    <row r="6" spans="1:45" ht="26.4" customHeight="1" x14ac:dyDescent="0.3">
      <c r="A6" s="91"/>
      <c r="B6" s="92"/>
      <c r="C6" s="81">
        <v>1</v>
      </c>
      <c r="D6" s="81">
        <v>2</v>
      </c>
      <c r="E6" s="81">
        <v>3</v>
      </c>
      <c r="F6" s="81">
        <v>4</v>
      </c>
      <c r="G6" s="81">
        <v>5</v>
      </c>
      <c r="H6" s="81">
        <v>6</v>
      </c>
      <c r="I6" s="81">
        <v>7</v>
      </c>
      <c r="J6" s="81">
        <v>8</v>
      </c>
      <c r="K6" s="81">
        <v>9</v>
      </c>
      <c r="L6" s="81">
        <v>10</v>
      </c>
      <c r="M6" s="81">
        <v>11</v>
      </c>
      <c r="N6" s="81">
        <v>12</v>
      </c>
      <c r="O6" s="81">
        <v>13</v>
      </c>
      <c r="P6" s="81">
        <v>14</v>
      </c>
      <c r="Q6" s="81">
        <v>15</v>
      </c>
      <c r="R6" s="81">
        <v>16</v>
      </c>
      <c r="S6" s="81">
        <v>17</v>
      </c>
      <c r="T6" s="81">
        <v>18</v>
      </c>
      <c r="U6" s="81">
        <v>19</v>
      </c>
      <c r="V6" s="81">
        <v>20</v>
      </c>
      <c r="W6" s="81">
        <v>21</v>
      </c>
      <c r="X6" s="81">
        <v>22</v>
      </c>
      <c r="Y6" s="81">
        <v>23</v>
      </c>
      <c r="Z6" s="81">
        <v>24</v>
      </c>
      <c r="AA6" s="81">
        <v>25</v>
      </c>
      <c r="AB6" s="81">
        <v>26</v>
      </c>
      <c r="AC6" s="81">
        <v>27</v>
      </c>
      <c r="AD6" s="81">
        <v>28</v>
      </c>
      <c r="AE6" s="81">
        <v>29</v>
      </c>
      <c r="AF6" s="81">
        <v>30</v>
      </c>
      <c r="AG6" s="81">
        <v>31</v>
      </c>
      <c r="AH6" s="94"/>
      <c r="AI6" s="94"/>
      <c r="AJ6" s="91"/>
      <c r="AK6" s="96"/>
    </row>
    <row r="7" spans="1:45" ht="26.4" x14ac:dyDescent="0.3">
      <c r="A7" s="91"/>
      <c r="B7" s="92"/>
      <c r="C7" s="81" t="s">
        <v>38</v>
      </c>
      <c r="D7" s="81" t="s">
        <v>39</v>
      </c>
      <c r="E7" s="81" t="s">
        <v>40</v>
      </c>
      <c r="F7" s="81" t="s">
        <v>33</v>
      </c>
      <c r="G7" s="81" t="s">
        <v>34</v>
      </c>
      <c r="H7" s="81" t="s">
        <v>36</v>
      </c>
      <c r="I7" s="81" t="s">
        <v>35</v>
      </c>
      <c r="J7" s="81" t="s">
        <v>38</v>
      </c>
      <c r="K7" s="81" t="s">
        <v>39</v>
      </c>
      <c r="L7" s="81" t="s">
        <v>40</v>
      </c>
      <c r="M7" s="81" t="s">
        <v>33</v>
      </c>
      <c r="N7" s="81" t="s">
        <v>34</v>
      </c>
      <c r="O7" s="81" t="s">
        <v>36</v>
      </c>
      <c r="P7" s="81" t="s">
        <v>35</v>
      </c>
      <c r="Q7" s="81" t="s">
        <v>38</v>
      </c>
      <c r="R7" s="81" t="s">
        <v>39</v>
      </c>
      <c r="S7" s="81" t="s">
        <v>40</v>
      </c>
      <c r="T7" s="81" t="s">
        <v>33</v>
      </c>
      <c r="U7" s="81" t="s">
        <v>34</v>
      </c>
      <c r="V7" s="81" t="s">
        <v>36</v>
      </c>
      <c r="W7" s="81" t="s">
        <v>35</v>
      </c>
      <c r="X7" s="81" t="s">
        <v>38</v>
      </c>
      <c r="Y7" s="81" t="s">
        <v>39</v>
      </c>
      <c r="Z7" s="81" t="s">
        <v>40</v>
      </c>
      <c r="AA7" s="81" t="s">
        <v>33</v>
      </c>
      <c r="AB7" s="81" t="s">
        <v>34</v>
      </c>
      <c r="AC7" s="81" t="s">
        <v>36</v>
      </c>
      <c r="AD7" s="81" t="s">
        <v>35</v>
      </c>
      <c r="AE7" s="81" t="s">
        <v>38</v>
      </c>
      <c r="AF7" s="81" t="s">
        <v>39</v>
      </c>
      <c r="AG7" s="81" t="s">
        <v>40</v>
      </c>
      <c r="AH7" s="94"/>
      <c r="AI7" s="94"/>
      <c r="AJ7" s="91"/>
      <c r="AK7" s="96"/>
    </row>
    <row r="8" spans="1:45" s="54" customFormat="1" ht="17.399999999999999" x14ac:dyDescent="0.3">
      <c r="A8" s="30" t="s">
        <v>24</v>
      </c>
      <c r="B8" s="48" t="s">
        <v>17</v>
      </c>
      <c r="C8" s="74"/>
      <c r="D8" s="74"/>
      <c r="E8" s="74"/>
      <c r="F8" s="76">
        <v>1</v>
      </c>
      <c r="G8" s="76">
        <v>1</v>
      </c>
      <c r="H8" s="76"/>
      <c r="I8" s="74">
        <v>1</v>
      </c>
      <c r="J8" s="74">
        <v>1</v>
      </c>
      <c r="K8" s="74"/>
      <c r="L8" s="74"/>
      <c r="M8" s="76">
        <v>1</v>
      </c>
      <c r="N8" s="76">
        <v>1</v>
      </c>
      <c r="O8" s="76">
        <v>1</v>
      </c>
      <c r="P8" s="74">
        <v>1</v>
      </c>
      <c r="Q8" s="74"/>
      <c r="R8" s="74"/>
      <c r="S8" s="74"/>
      <c r="T8" s="76"/>
      <c r="U8" s="76">
        <v>1</v>
      </c>
      <c r="V8" s="76">
        <v>1</v>
      </c>
      <c r="W8" s="74"/>
      <c r="X8" s="74"/>
      <c r="Y8" s="74"/>
      <c r="Z8" s="74"/>
      <c r="AA8" s="76">
        <v>1</v>
      </c>
      <c r="AB8" s="76">
        <v>1</v>
      </c>
      <c r="AC8" s="76"/>
      <c r="AD8" s="74"/>
      <c r="AE8" s="74"/>
      <c r="AF8" s="74">
        <v>1</v>
      </c>
      <c r="AG8" s="74"/>
      <c r="AH8" s="9">
        <f>COUNT(C8:AF8)</f>
        <v>13</v>
      </c>
      <c r="AI8" s="9">
        <v>12</v>
      </c>
      <c r="AJ8" s="51">
        <v>75000</v>
      </c>
      <c r="AK8" s="52">
        <f>AJ8/AI8*AH8</f>
        <v>81250</v>
      </c>
      <c r="AM8" s="55"/>
    </row>
    <row r="9" spans="1:45" s="54" customFormat="1" ht="17.399999999999999" x14ac:dyDescent="0.3">
      <c r="A9" s="30" t="s">
        <v>25</v>
      </c>
      <c r="B9" s="48" t="s">
        <v>18</v>
      </c>
      <c r="C9" s="74"/>
      <c r="D9" s="74"/>
      <c r="E9" s="74"/>
      <c r="F9" s="74"/>
      <c r="G9" s="76">
        <v>1</v>
      </c>
      <c r="H9" s="74"/>
      <c r="I9" s="76">
        <v>1</v>
      </c>
      <c r="J9" s="74"/>
      <c r="K9" s="74"/>
      <c r="L9" s="74"/>
      <c r="M9" s="74"/>
      <c r="N9" s="76">
        <v>1</v>
      </c>
      <c r="O9" s="74"/>
      <c r="P9" s="76">
        <v>1</v>
      </c>
      <c r="Q9" s="74"/>
      <c r="R9" s="74"/>
      <c r="S9" s="74"/>
      <c r="T9" s="74"/>
      <c r="U9" s="76"/>
      <c r="V9" s="74"/>
      <c r="W9" s="76"/>
      <c r="X9" s="74"/>
      <c r="Y9" s="74"/>
      <c r="Z9" s="74"/>
      <c r="AA9" s="74"/>
      <c r="AB9" s="76"/>
      <c r="AC9" s="74"/>
      <c r="AD9" s="76"/>
      <c r="AE9" s="74">
        <v>1</v>
      </c>
      <c r="AF9" s="74">
        <v>1</v>
      </c>
      <c r="AG9" s="74"/>
      <c r="AH9" s="9">
        <f>COUNT(C9:AF9)</f>
        <v>6</v>
      </c>
      <c r="AI9" s="9">
        <v>8</v>
      </c>
      <c r="AJ9" s="51">
        <v>26400</v>
      </c>
      <c r="AK9" s="52">
        <f>AJ9/AI9*AH9</f>
        <v>19800</v>
      </c>
    </row>
    <row r="10" spans="1:45" ht="17.399999999999999" x14ac:dyDescent="0.3">
      <c r="A10" s="30" t="s">
        <v>28</v>
      </c>
      <c r="B10" s="48" t="s">
        <v>21</v>
      </c>
      <c r="C10" s="76">
        <v>1</v>
      </c>
      <c r="D10" s="74"/>
      <c r="E10" s="74"/>
      <c r="F10" s="76">
        <v>1</v>
      </c>
      <c r="G10" s="76"/>
      <c r="H10" s="74"/>
      <c r="I10" s="74"/>
      <c r="J10" s="76">
        <v>1</v>
      </c>
      <c r="K10" s="74">
        <v>1</v>
      </c>
      <c r="L10" s="74"/>
      <c r="M10" s="76"/>
      <c r="N10" s="76"/>
      <c r="O10" s="74">
        <v>1</v>
      </c>
      <c r="P10" s="74"/>
      <c r="Q10" s="76"/>
      <c r="R10" s="74"/>
      <c r="S10" s="74"/>
      <c r="T10" s="76"/>
      <c r="U10" s="76">
        <v>1</v>
      </c>
      <c r="V10" s="74"/>
      <c r="W10" s="74"/>
      <c r="X10" s="76"/>
      <c r="Y10" s="74"/>
      <c r="Z10" s="74"/>
      <c r="AA10" s="76">
        <v>1</v>
      </c>
      <c r="AB10" s="76"/>
      <c r="AC10" s="74"/>
      <c r="AD10" s="74"/>
      <c r="AE10" s="76">
        <v>1</v>
      </c>
      <c r="AF10" s="74"/>
      <c r="AG10" s="74"/>
      <c r="AH10" s="9">
        <f>COUNT(C10:AF10)</f>
        <v>8</v>
      </c>
      <c r="AI10" s="9">
        <v>13</v>
      </c>
      <c r="AJ10" s="59">
        <v>42000</v>
      </c>
      <c r="AK10" s="52">
        <f t="shared" ref="AK10:AK11" si="0">AJ10/AI10*AH10</f>
        <v>25846.153846153848</v>
      </c>
      <c r="AM10" s="18"/>
      <c r="AN10" s="60"/>
      <c r="AO10" s="60"/>
      <c r="AP10" s="60"/>
      <c r="AQ10" s="60"/>
      <c r="AR10" s="60"/>
      <c r="AS10" s="60"/>
    </row>
    <row r="11" spans="1:45" ht="17.399999999999999" x14ac:dyDescent="0.3">
      <c r="A11" s="30" t="s">
        <v>29</v>
      </c>
      <c r="B11" s="48" t="s">
        <v>22</v>
      </c>
      <c r="C11" s="74"/>
      <c r="D11" s="74"/>
      <c r="E11" s="74"/>
      <c r="F11" s="76"/>
      <c r="G11" s="74"/>
      <c r="H11" s="74"/>
      <c r="I11" s="76"/>
      <c r="J11" s="74"/>
      <c r="K11" s="74"/>
      <c r="L11" s="74"/>
      <c r="M11" s="76"/>
      <c r="N11" s="74"/>
      <c r="O11" s="74"/>
      <c r="P11" s="76"/>
      <c r="Q11" s="74"/>
      <c r="R11" s="74"/>
      <c r="S11" s="74"/>
      <c r="T11" s="76"/>
      <c r="U11" s="74"/>
      <c r="V11" s="74"/>
      <c r="W11" s="76"/>
      <c r="X11" s="74"/>
      <c r="Y11" s="74"/>
      <c r="Z11" s="74"/>
      <c r="AA11" s="76"/>
      <c r="AB11" s="74"/>
      <c r="AC11" s="74"/>
      <c r="AD11" s="76"/>
      <c r="AE11" s="74"/>
      <c r="AF11" s="74"/>
      <c r="AG11" s="74"/>
      <c r="AH11" s="9">
        <f>COUNT(C11:AF11)</f>
        <v>0</v>
      </c>
      <c r="AI11" s="9">
        <v>8</v>
      </c>
      <c r="AJ11" s="51">
        <v>26400</v>
      </c>
      <c r="AK11" s="52">
        <f t="shared" si="0"/>
        <v>0</v>
      </c>
      <c r="AM11" s="18"/>
      <c r="AN11" s="60"/>
      <c r="AO11" s="60"/>
      <c r="AP11" s="60"/>
      <c r="AQ11" s="60"/>
      <c r="AR11" s="60"/>
      <c r="AS11" s="60"/>
    </row>
    <row r="12" spans="1:45" ht="17.399999999999999" customHeight="1" x14ac:dyDescent="0.3">
      <c r="A12" s="97" t="s">
        <v>50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9"/>
      <c r="AK12" s="68">
        <f>SUM(AK8:AK11)</f>
        <v>126896.15384615384</v>
      </c>
    </row>
    <row r="14" spans="1:45" x14ac:dyDescent="0.3">
      <c r="B14" s="102" t="s">
        <v>76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J14" s="65"/>
    </row>
    <row r="18" spans="2:37" ht="14.4" customHeight="1" x14ac:dyDescent="0.3">
      <c r="B18" s="100" t="s">
        <v>14</v>
      </c>
      <c r="C18" s="100"/>
      <c r="D18" s="100"/>
      <c r="E18" s="100"/>
      <c r="F18" s="100"/>
      <c r="G18" s="100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83"/>
      <c r="AF18" s="83"/>
      <c r="AG18" s="83"/>
    </row>
    <row r="19" spans="2:37" ht="14.4" customHeight="1" x14ac:dyDescent="0.3">
      <c r="B19" s="100"/>
      <c r="C19" s="100"/>
      <c r="D19" s="100"/>
      <c r="E19" s="100"/>
      <c r="F19" s="100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83"/>
      <c r="AF19" s="83"/>
      <c r="AG19" s="83"/>
    </row>
    <row r="20" spans="2:37" ht="14.4" customHeight="1" x14ac:dyDescent="0.3">
      <c r="B20" s="100"/>
      <c r="C20" s="100"/>
      <c r="D20" s="100"/>
      <c r="E20" s="100"/>
      <c r="F20" s="100"/>
      <c r="G20" s="100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83"/>
      <c r="AF20" s="83"/>
      <c r="AG20" s="83"/>
    </row>
    <row r="21" spans="2:37" x14ac:dyDescent="0.3">
      <c r="B21" s="100"/>
      <c r="C21" s="100"/>
      <c r="D21" s="100"/>
      <c r="E21" s="100"/>
      <c r="F21" s="100"/>
      <c r="G21" s="100"/>
    </row>
    <row r="22" spans="2:37" ht="18" customHeight="1" x14ac:dyDescent="0.3">
      <c r="B22" s="103" t="s">
        <v>58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</row>
    <row r="23" spans="2:37" s="82" customFormat="1" ht="14.4" customHeight="1" x14ac:dyDescent="0.3">
      <c r="B23" s="95" t="s">
        <v>59</v>
      </c>
      <c r="C23" s="95"/>
      <c r="D23" s="95"/>
      <c r="E23" s="95"/>
      <c r="F23" s="95"/>
      <c r="G23" s="95"/>
      <c r="H23" s="95"/>
      <c r="I23" s="95"/>
      <c r="J23" s="95"/>
      <c r="AK23" s="64"/>
    </row>
    <row r="24" spans="2:37" s="82" customFormat="1" x14ac:dyDescent="0.3">
      <c r="B24" s="95" t="s">
        <v>60</v>
      </c>
      <c r="C24" s="95"/>
      <c r="D24" s="95"/>
      <c r="E24" s="95"/>
      <c r="F24" s="95"/>
      <c r="G24" s="95"/>
      <c r="H24" s="95"/>
      <c r="I24" s="95"/>
      <c r="J24" s="95"/>
      <c r="AK24" s="64"/>
    </row>
    <row r="25" spans="2:37" s="82" customFormat="1" ht="14.4" customHeight="1" x14ac:dyDescent="0.3">
      <c r="B25" s="95" t="s">
        <v>53</v>
      </c>
      <c r="C25" s="95"/>
      <c r="D25" s="95"/>
      <c r="E25" s="95"/>
      <c r="F25" s="95"/>
      <c r="G25" s="95"/>
      <c r="H25" s="95"/>
      <c r="I25" s="95"/>
      <c r="J25" s="95"/>
      <c r="AK25" s="64"/>
    </row>
    <row r="26" spans="2:37" s="82" customFormat="1" x14ac:dyDescent="0.3">
      <c r="B26" s="82" t="s">
        <v>44</v>
      </c>
      <c r="C26" s="95" t="s">
        <v>61</v>
      </c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AK26" s="64"/>
    </row>
    <row r="27" spans="2:37" s="82" customFormat="1" x14ac:dyDescent="0.3">
      <c r="B27" s="82" t="s">
        <v>54</v>
      </c>
      <c r="C27" s="95" t="s">
        <v>62</v>
      </c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AK27" s="64"/>
    </row>
    <row r="43" spans="7:7" x14ac:dyDescent="0.3">
      <c r="G43" s="47" t="s">
        <v>15</v>
      </c>
    </row>
  </sheetData>
  <mergeCells count="26">
    <mergeCell ref="C27:R27"/>
    <mergeCell ref="AK5:AK7"/>
    <mergeCell ref="A12:AJ12"/>
    <mergeCell ref="B18:G21"/>
    <mergeCell ref="H18:N18"/>
    <mergeCell ref="O18:AD18"/>
    <mergeCell ref="H19:N19"/>
    <mergeCell ref="O19:AD19"/>
    <mergeCell ref="H20:N20"/>
    <mergeCell ref="O20:AD20"/>
    <mergeCell ref="B14:AG14"/>
    <mergeCell ref="B22:AK22"/>
    <mergeCell ref="B23:J23"/>
    <mergeCell ref="B24:J24"/>
    <mergeCell ref="B25:J25"/>
    <mergeCell ref="C26:R26"/>
    <mergeCell ref="B1:AK1"/>
    <mergeCell ref="B2:AK2"/>
    <mergeCell ref="B3:AK3"/>
    <mergeCell ref="A4:AK4"/>
    <mergeCell ref="A5:A7"/>
    <mergeCell ref="B5:B7"/>
    <mergeCell ref="C5:AA5"/>
    <mergeCell ref="AH5:AH7"/>
    <mergeCell ref="AI5:AI7"/>
    <mergeCell ref="AJ5:AJ7"/>
  </mergeCells>
  <printOptions horizontalCentered="1"/>
  <pageMargins left="0.23622047244094491" right="0.15748031496062992" top="0.59055118110236227" bottom="0.15748031496062992" header="0.15748031496062992" footer="0.15748031496062992"/>
  <pageSetup paperSize="9"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BF65-8E9C-4BC5-8FEF-B3AE91773909}">
  <dimension ref="A1:AS43"/>
  <sheetViews>
    <sheetView view="pageBreakPreview" topLeftCell="B1" zoomScaleSheetLayoutView="100" workbookViewId="0">
      <selection activeCell="AK9" sqref="AK9"/>
    </sheetView>
  </sheetViews>
  <sheetFormatPr defaultRowHeight="14.4" x14ac:dyDescent="0.3"/>
  <cols>
    <col min="1" max="1" width="7.109375" style="47" bestFit="1" customWidth="1"/>
    <col min="2" max="2" width="31.6640625" style="77" bestFit="1" customWidth="1"/>
    <col min="3" max="3" width="4.109375" style="47" bestFit="1" customWidth="1"/>
    <col min="4" max="4" width="3.109375" style="47" bestFit="1" customWidth="1"/>
    <col min="5" max="5" width="3.33203125" style="47" bestFit="1" customWidth="1"/>
    <col min="6" max="6" width="3.77734375" style="47" bestFit="1" customWidth="1"/>
    <col min="7" max="7" width="4.77734375" style="47" customWidth="1"/>
    <col min="8" max="8" width="4" style="47" bestFit="1" customWidth="1"/>
    <col min="9" max="9" width="4.33203125" style="47" bestFit="1" customWidth="1"/>
    <col min="10" max="10" width="4.109375" style="47" bestFit="1" customWidth="1"/>
    <col min="11" max="11" width="3.109375" style="47" bestFit="1" customWidth="1"/>
    <col min="12" max="12" width="3.33203125" style="47" customWidth="1"/>
    <col min="13" max="13" width="3.77734375" style="47" bestFit="1" customWidth="1"/>
    <col min="14" max="14" width="4.77734375" style="47" bestFit="1" customWidth="1"/>
    <col min="15" max="15" width="3.88671875" style="47" customWidth="1"/>
    <col min="16" max="16" width="4.33203125" style="47" bestFit="1" customWidth="1"/>
    <col min="17" max="17" width="4.109375" style="47" bestFit="1" customWidth="1"/>
    <col min="18" max="18" width="3.109375" style="47" bestFit="1" customWidth="1"/>
    <col min="19" max="19" width="3.33203125" style="47" bestFit="1" customWidth="1"/>
    <col min="20" max="20" width="3.77734375" style="47" bestFit="1" customWidth="1"/>
    <col min="21" max="21" width="3" style="47" bestFit="1" customWidth="1"/>
    <col min="22" max="22" width="3.109375" style="47" bestFit="1" customWidth="1"/>
    <col min="23" max="23" width="3.33203125" style="47" bestFit="1" customWidth="1"/>
    <col min="24" max="24" width="4.109375" style="47" bestFit="1" customWidth="1"/>
    <col min="25" max="25" width="3.109375" style="47" bestFit="1" customWidth="1"/>
    <col min="26" max="26" width="3.33203125" style="47" bestFit="1" customWidth="1"/>
    <col min="27" max="27" width="3.77734375" style="47" bestFit="1" customWidth="1"/>
    <col min="28" max="28" width="3" style="47" bestFit="1" customWidth="1"/>
    <col min="29" max="29" width="3.109375" style="47" bestFit="1" customWidth="1"/>
    <col min="30" max="30" width="3.33203125" style="47" bestFit="1" customWidth="1"/>
    <col min="31" max="32" width="3" style="47" bestFit="1" customWidth="1"/>
    <col min="33" max="33" width="3" style="47" customWidth="1"/>
    <col min="34" max="34" width="9" style="47" customWidth="1"/>
    <col min="35" max="35" width="11.33203125" style="47" customWidth="1"/>
    <col min="36" max="36" width="8.88671875" style="47" customWidth="1"/>
    <col min="37" max="37" width="12.5546875" style="62" customWidth="1"/>
    <col min="38" max="16384" width="8.88671875" style="47"/>
  </cols>
  <sheetData>
    <row r="1" spans="1:45" ht="17.399999999999999" x14ac:dyDescent="0.3"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</row>
    <row r="2" spans="1:45" ht="15.6" x14ac:dyDescent="0.3">
      <c r="B2" s="88" t="s">
        <v>1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</row>
    <row r="3" spans="1:45" ht="15.6" x14ac:dyDescent="0.3">
      <c r="B3" s="89" t="s">
        <v>2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</row>
    <row r="4" spans="1:45" ht="15.6" customHeight="1" x14ac:dyDescent="0.3">
      <c r="A4" s="90" t="s">
        <v>74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</row>
    <row r="5" spans="1:45" ht="34.799999999999997" customHeight="1" x14ac:dyDescent="0.3">
      <c r="A5" s="91" t="s">
        <v>30</v>
      </c>
      <c r="B5" s="92" t="s">
        <v>3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80"/>
      <c r="AC5" s="80"/>
      <c r="AD5" s="80"/>
      <c r="AE5" s="80"/>
      <c r="AF5" s="80"/>
      <c r="AG5" s="80"/>
      <c r="AH5" s="94" t="s">
        <v>46</v>
      </c>
      <c r="AI5" s="94" t="s">
        <v>47</v>
      </c>
      <c r="AJ5" s="91" t="s">
        <v>48</v>
      </c>
      <c r="AK5" s="96" t="s">
        <v>49</v>
      </c>
    </row>
    <row r="6" spans="1:45" ht="26.4" customHeight="1" x14ac:dyDescent="0.3">
      <c r="A6" s="91"/>
      <c r="B6" s="92"/>
      <c r="C6" s="79">
        <v>1</v>
      </c>
      <c r="D6" s="79">
        <v>2</v>
      </c>
      <c r="E6" s="79">
        <v>3</v>
      </c>
      <c r="F6" s="79">
        <v>4</v>
      </c>
      <c r="G6" s="79">
        <v>5</v>
      </c>
      <c r="H6" s="79">
        <v>6</v>
      </c>
      <c r="I6" s="79">
        <v>7</v>
      </c>
      <c r="J6" s="79">
        <v>8</v>
      </c>
      <c r="K6" s="79">
        <v>9</v>
      </c>
      <c r="L6" s="79">
        <v>10</v>
      </c>
      <c r="M6" s="79">
        <v>11</v>
      </c>
      <c r="N6" s="79">
        <v>12</v>
      </c>
      <c r="O6" s="79">
        <v>13</v>
      </c>
      <c r="P6" s="79">
        <v>14</v>
      </c>
      <c r="Q6" s="79">
        <v>15</v>
      </c>
      <c r="R6" s="79">
        <v>16</v>
      </c>
      <c r="S6" s="79">
        <v>17</v>
      </c>
      <c r="T6" s="79">
        <v>18</v>
      </c>
      <c r="U6" s="79">
        <v>19</v>
      </c>
      <c r="V6" s="79">
        <v>20</v>
      </c>
      <c r="W6" s="79">
        <v>21</v>
      </c>
      <c r="X6" s="79">
        <v>22</v>
      </c>
      <c r="Y6" s="79">
        <v>23</v>
      </c>
      <c r="Z6" s="79">
        <v>24</v>
      </c>
      <c r="AA6" s="79">
        <v>25</v>
      </c>
      <c r="AB6" s="79">
        <v>26</v>
      </c>
      <c r="AC6" s="79">
        <v>27</v>
      </c>
      <c r="AD6" s="79">
        <v>28</v>
      </c>
      <c r="AE6" s="79">
        <v>29</v>
      </c>
      <c r="AF6" s="79">
        <v>30</v>
      </c>
      <c r="AG6" s="81">
        <v>31</v>
      </c>
      <c r="AH6" s="94"/>
      <c r="AI6" s="94"/>
      <c r="AJ6" s="91"/>
      <c r="AK6" s="96"/>
    </row>
    <row r="7" spans="1:45" ht="26.4" x14ac:dyDescent="0.3">
      <c r="A7" s="91"/>
      <c r="B7" s="92"/>
      <c r="C7" s="81" t="s">
        <v>38</v>
      </c>
      <c r="D7" s="81" t="s">
        <v>39</v>
      </c>
      <c r="E7" s="81" t="s">
        <v>40</v>
      </c>
      <c r="F7" s="81" t="s">
        <v>33</v>
      </c>
      <c r="G7" s="81" t="s">
        <v>34</v>
      </c>
      <c r="H7" s="81" t="s">
        <v>36</v>
      </c>
      <c r="I7" s="81" t="s">
        <v>35</v>
      </c>
      <c r="J7" s="81" t="s">
        <v>38</v>
      </c>
      <c r="K7" s="81" t="s">
        <v>39</v>
      </c>
      <c r="L7" s="81" t="s">
        <v>40</v>
      </c>
      <c r="M7" s="81" t="s">
        <v>33</v>
      </c>
      <c r="N7" s="81" t="s">
        <v>34</v>
      </c>
      <c r="O7" s="81" t="s">
        <v>36</v>
      </c>
      <c r="P7" s="81" t="s">
        <v>35</v>
      </c>
      <c r="Q7" s="81" t="s">
        <v>38</v>
      </c>
      <c r="R7" s="81" t="s">
        <v>39</v>
      </c>
      <c r="S7" s="81" t="s">
        <v>40</v>
      </c>
      <c r="T7" s="81" t="s">
        <v>33</v>
      </c>
      <c r="U7" s="81" t="s">
        <v>34</v>
      </c>
      <c r="V7" s="81" t="s">
        <v>36</v>
      </c>
      <c r="W7" s="81" t="s">
        <v>35</v>
      </c>
      <c r="X7" s="81" t="s">
        <v>38</v>
      </c>
      <c r="Y7" s="81" t="s">
        <v>39</v>
      </c>
      <c r="Z7" s="81" t="s">
        <v>40</v>
      </c>
      <c r="AA7" s="81" t="s">
        <v>33</v>
      </c>
      <c r="AB7" s="81" t="s">
        <v>34</v>
      </c>
      <c r="AC7" s="81" t="s">
        <v>36</v>
      </c>
      <c r="AD7" s="81" t="s">
        <v>35</v>
      </c>
      <c r="AE7" s="81" t="s">
        <v>38</v>
      </c>
      <c r="AF7" s="81" t="s">
        <v>39</v>
      </c>
      <c r="AG7" s="81" t="s">
        <v>40</v>
      </c>
      <c r="AH7" s="94"/>
      <c r="AI7" s="94"/>
      <c r="AJ7" s="91"/>
      <c r="AK7" s="96"/>
    </row>
    <row r="8" spans="1:45" s="54" customFormat="1" ht="17.399999999999999" x14ac:dyDescent="0.3">
      <c r="A8" s="30" t="s">
        <v>24</v>
      </c>
      <c r="B8" s="48" t="s">
        <v>17</v>
      </c>
      <c r="C8" s="74"/>
      <c r="D8" s="74"/>
      <c r="E8" s="74"/>
      <c r="F8" s="76">
        <v>1</v>
      </c>
      <c r="G8" s="76">
        <v>1</v>
      </c>
      <c r="H8" s="76"/>
      <c r="I8" s="74">
        <v>1</v>
      </c>
      <c r="J8" s="74">
        <v>1</v>
      </c>
      <c r="K8" s="74"/>
      <c r="L8" s="74"/>
      <c r="M8" s="76">
        <v>1</v>
      </c>
      <c r="N8" s="76">
        <v>1</v>
      </c>
      <c r="O8" s="76">
        <v>1</v>
      </c>
      <c r="P8" s="74">
        <v>1</v>
      </c>
      <c r="Q8" s="74"/>
      <c r="R8" s="74"/>
      <c r="S8" s="74"/>
      <c r="T8" s="76"/>
      <c r="U8" s="76">
        <v>1</v>
      </c>
      <c r="V8" s="76">
        <v>1</v>
      </c>
      <c r="W8" s="74"/>
      <c r="X8" s="74"/>
      <c r="Y8" s="74"/>
      <c r="Z8" s="74"/>
      <c r="AA8" s="76">
        <v>1</v>
      </c>
      <c r="AB8" s="76">
        <v>1</v>
      </c>
      <c r="AC8" s="76"/>
      <c r="AD8" s="74"/>
      <c r="AE8" s="74"/>
      <c r="AF8" s="74">
        <v>1</v>
      </c>
      <c r="AG8" s="74"/>
      <c r="AH8" s="9">
        <f>COUNT(C8:AF8)</f>
        <v>13</v>
      </c>
      <c r="AI8" s="9">
        <v>12</v>
      </c>
      <c r="AJ8" s="51">
        <v>75000</v>
      </c>
      <c r="AK8" s="52">
        <v>75000</v>
      </c>
      <c r="AM8" s="55"/>
    </row>
    <row r="9" spans="1:45" s="54" customFormat="1" ht="17.399999999999999" x14ac:dyDescent="0.3">
      <c r="A9" s="30" t="s">
        <v>25</v>
      </c>
      <c r="B9" s="48" t="s">
        <v>18</v>
      </c>
      <c r="C9" s="74"/>
      <c r="D9" s="74"/>
      <c r="E9" s="74"/>
      <c r="F9" s="74"/>
      <c r="G9" s="76">
        <v>1</v>
      </c>
      <c r="H9" s="74"/>
      <c r="I9" s="76">
        <v>1</v>
      </c>
      <c r="J9" s="74"/>
      <c r="K9" s="74"/>
      <c r="L9" s="74"/>
      <c r="M9" s="74"/>
      <c r="N9" s="76">
        <v>1</v>
      </c>
      <c r="O9" s="74"/>
      <c r="P9" s="76">
        <v>1</v>
      </c>
      <c r="Q9" s="74"/>
      <c r="R9" s="74"/>
      <c r="S9" s="74"/>
      <c r="T9" s="74"/>
      <c r="U9" s="76"/>
      <c r="V9" s="74"/>
      <c r="W9" s="76"/>
      <c r="X9" s="74"/>
      <c r="Y9" s="74"/>
      <c r="Z9" s="74"/>
      <c r="AA9" s="74"/>
      <c r="AB9" s="76"/>
      <c r="AC9" s="74"/>
      <c r="AD9" s="76"/>
      <c r="AE9" s="74">
        <v>1</v>
      </c>
      <c r="AF9" s="74">
        <v>1</v>
      </c>
      <c r="AG9" s="74"/>
      <c r="AH9" s="9">
        <f>COUNT(C9:AF9)</f>
        <v>6</v>
      </c>
      <c r="AI9" s="9">
        <v>8</v>
      </c>
      <c r="AJ9" s="51">
        <v>26400</v>
      </c>
      <c r="AK9" s="52">
        <f>AJ9/AI9*AH9</f>
        <v>19800</v>
      </c>
    </row>
    <row r="10" spans="1:45" ht="17.399999999999999" x14ac:dyDescent="0.3">
      <c r="A10" s="30" t="s">
        <v>28</v>
      </c>
      <c r="B10" s="48" t="s">
        <v>21</v>
      </c>
      <c r="C10" s="76">
        <v>1</v>
      </c>
      <c r="D10" s="74"/>
      <c r="E10" s="74"/>
      <c r="F10" s="76">
        <v>1</v>
      </c>
      <c r="G10" s="76"/>
      <c r="H10" s="74"/>
      <c r="I10" s="74"/>
      <c r="J10" s="76">
        <v>1</v>
      </c>
      <c r="K10" s="74">
        <v>1</v>
      </c>
      <c r="L10" s="74"/>
      <c r="M10" s="76"/>
      <c r="N10" s="76"/>
      <c r="O10" s="74">
        <v>1</v>
      </c>
      <c r="P10" s="74"/>
      <c r="Q10" s="76"/>
      <c r="R10" s="74"/>
      <c r="S10" s="74"/>
      <c r="T10" s="76"/>
      <c r="U10" s="76">
        <v>1</v>
      </c>
      <c r="V10" s="74"/>
      <c r="W10" s="74"/>
      <c r="X10" s="76"/>
      <c r="Y10" s="74"/>
      <c r="Z10" s="74"/>
      <c r="AA10" s="76">
        <v>1</v>
      </c>
      <c r="AB10" s="76"/>
      <c r="AC10" s="74"/>
      <c r="AD10" s="74"/>
      <c r="AE10" s="76">
        <v>1</v>
      </c>
      <c r="AF10" s="74"/>
      <c r="AG10" s="74"/>
      <c r="AH10" s="9">
        <f>COUNT(C10:AF10)</f>
        <v>8</v>
      </c>
      <c r="AI10" s="9">
        <v>13</v>
      </c>
      <c r="AJ10" s="59">
        <v>42000</v>
      </c>
      <c r="AK10" s="52">
        <f t="shared" ref="AK10:AK11" si="0">AJ10/AI10*AH10</f>
        <v>25846.153846153848</v>
      </c>
      <c r="AM10" s="18"/>
      <c r="AN10" s="60"/>
      <c r="AO10" s="60"/>
      <c r="AP10" s="60"/>
      <c r="AQ10" s="60"/>
      <c r="AR10" s="60"/>
      <c r="AS10" s="60"/>
    </row>
    <row r="11" spans="1:45" ht="17.399999999999999" x14ac:dyDescent="0.3">
      <c r="A11" s="30" t="s">
        <v>29</v>
      </c>
      <c r="B11" s="48" t="s">
        <v>22</v>
      </c>
      <c r="C11" s="74"/>
      <c r="D11" s="74"/>
      <c r="E11" s="74"/>
      <c r="F11" s="76"/>
      <c r="G11" s="74"/>
      <c r="H11" s="74"/>
      <c r="I11" s="76"/>
      <c r="J11" s="74"/>
      <c r="K11" s="74"/>
      <c r="L11" s="74"/>
      <c r="M11" s="76"/>
      <c r="N11" s="74"/>
      <c r="O11" s="74"/>
      <c r="P11" s="76"/>
      <c r="Q11" s="74"/>
      <c r="R11" s="74"/>
      <c r="S11" s="74"/>
      <c r="T11" s="76"/>
      <c r="U11" s="74"/>
      <c r="V11" s="74"/>
      <c r="W11" s="76"/>
      <c r="X11" s="74"/>
      <c r="Y11" s="74"/>
      <c r="Z11" s="74"/>
      <c r="AA11" s="76"/>
      <c r="AB11" s="74"/>
      <c r="AC11" s="74"/>
      <c r="AD11" s="76"/>
      <c r="AE11" s="74"/>
      <c r="AF11" s="74"/>
      <c r="AG11" s="74"/>
      <c r="AH11" s="9">
        <f>COUNT(C11:AF11)</f>
        <v>0</v>
      </c>
      <c r="AI11" s="9">
        <v>11</v>
      </c>
      <c r="AJ11" s="51">
        <v>26400</v>
      </c>
      <c r="AK11" s="52">
        <f t="shared" si="0"/>
        <v>0</v>
      </c>
      <c r="AM11" s="18"/>
      <c r="AN11" s="60"/>
      <c r="AO11" s="60"/>
      <c r="AP11" s="60"/>
      <c r="AQ11" s="60"/>
      <c r="AR11" s="60"/>
      <c r="AS11" s="60"/>
    </row>
    <row r="12" spans="1:45" ht="17.399999999999999" customHeight="1" x14ac:dyDescent="0.3">
      <c r="A12" s="97" t="s">
        <v>50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9"/>
      <c r="AK12" s="68">
        <f>SUM(AK8:AK11)</f>
        <v>120646.15384615384</v>
      </c>
    </row>
    <row r="14" spans="1:45" x14ac:dyDescent="0.3">
      <c r="AJ14" s="65"/>
    </row>
    <row r="18" spans="2:37" ht="14.4" customHeight="1" x14ac:dyDescent="0.3">
      <c r="B18" s="100" t="s">
        <v>14</v>
      </c>
      <c r="C18" s="100"/>
      <c r="D18" s="100"/>
      <c r="E18" s="100"/>
      <c r="F18" s="100"/>
      <c r="G18" s="100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78"/>
      <c r="AF18" s="78"/>
      <c r="AG18" s="83"/>
    </row>
    <row r="19" spans="2:37" ht="14.4" customHeight="1" x14ac:dyDescent="0.3">
      <c r="B19" s="100"/>
      <c r="C19" s="100"/>
      <c r="D19" s="100"/>
      <c r="E19" s="100"/>
      <c r="F19" s="100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78"/>
      <c r="AF19" s="78"/>
      <c r="AG19" s="83"/>
    </row>
    <row r="20" spans="2:37" ht="14.4" customHeight="1" x14ac:dyDescent="0.3">
      <c r="B20" s="100"/>
      <c r="C20" s="100"/>
      <c r="D20" s="100"/>
      <c r="E20" s="100"/>
      <c r="F20" s="100"/>
      <c r="G20" s="100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78"/>
      <c r="AF20" s="78"/>
      <c r="AG20" s="83"/>
    </row>
    <row r="21" spans="2:37" x14ac:dyDescent="0.3">
      <c r="B21" s="100"/>
      <c r="C21" s="100"/>
      <c r="D21" s="100"/>
      <c r="E21" s="100"/>
      <c r="F21" s="100"/>
      <c r="G21" s="100"/>
    </row>
    <row r="22" spans="2:37" ht="18" customHeight="1" x14ac:dyDescent="0.3">
      <c r="B22" s="103" t="s">
        <v>58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</row>
    <row r="23" spans="2:37" s="77" customFormat="1" ht="14.4" customHeight="1" x14ac:dyDescent="0.3">
      <c r="B23" s="95" t="s">
        <v>59</v>
      </c>
      <c r="C23" s="95"/>
      <c r="D23" s="95"/>
      <c r="E23" s="95"/>
      <c r="F23" s="95"/>
      <c r="G23" s="95"/>
      <c r="H23" s="95"/>
      <c r="I23" s="95"/>
      <c r="J23" s="95"/>
      <c r="AG23" s="82"/>
      <c r="AK23" s="64"/>
    </row>
    <row r="24" spans="2:37" s="77" customFormat="1" x14ac:dyDescent="0.3">
      <c r="B24" s="95" t="s">
        <v>60</v>
      </c>
      <c r="C24" s="95"/>
      <c r="D24" s="95"/>
      <c r="E24" s="95"/>
      <c r="F24" s="95"/>
      <c r="G24" s="95"/>
      <c r="H24" s="95"/>
      <c r="I24" s="95"/>
      <c r="J24" s="95"/>
      <c r="AG24" s="82"/>
      <c r="AK24" s="64"/>
    </row>
    <row r="25" spans="2:37" s="77" customFormat="1" ht="14.4" customHeight="1" x14ac:dyDescent="0.3">
      <c r="B25" s="95" t="s">
        <v>53</v>
      </c>
      <c r="C25" s="95"/>
      <c r="D25" s="95"/>
      <c r="E25" s="95"/>
      <c r="F25" s="95"/>
      <c r="G25" s="95"/>
      <c r="H25" s="95"/>
      <c r="I25" s="95"/>
      <c r="J25" s="95"/>
      <c r="AG25" s="82"/>
      <c r="AK25" s="64"/>
    </row>
    <row r="26" spans="2:37" s="77" customFormat="1" x14ac:dyDescent="0.3">
      <c r="B26" s="77" t="s">
        <v>44</v>
      </c>
      <c r="C26" s="95" t="s">
        <v>61</v>
      </c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AG26" s="82"/>
      <c r="AK26" s="64"/>
    </row>
    <row r="27" spans="2:37" s="77" customFormat="1" x14ac:dyDescent="0.3">
      <c r="B27" s="77" t="s">
        <v>54</v>
      </c>
      <c r="C27" s="95" t="s">
        <v>62</v>
      </c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AG27" s="82"/>
      <c r="AK27" s="64"/>
    </row>
    <row r="43" spans="7:7" x14ac:dyDescent="0.3">
      <c r="G43" s="47" t="s">
        <v>15</v>
      </c>
    </row>
  </sheetData>
  <mergeCells count="25">
    <mergeCell ref="B1:AK1"/>
    <mergeCell ref="B2:AK2"/>
    <mergeCell ref="B3:AK3"/>
    <mergeCell ref="A4:AK4"/>
    <mergeCell ref="A5:A7"/>
    <mergeCell ref="B5:B7"/>
    <mergeCell ref="AH5:AH7"/>
    <mergeCell ref="AI5:AI7"/>
    <mergeCell ref="AJ5:AJ7"/>
    <mergeCell ref="B25:J25"/>
    <mergeCell ref="C26:R26"/>
    <mergeCell ref="C27:R27"/>
    <mergeCell ref="AK5:AK7"/>
    <mergeCell ref="A12:AJ12"/>
    <mergeCell ref="H18:N18"/>
    <mergeCell ref="O18:AD18"/>
    <mergeCell ref="H19:N19"/>
    <mergeCell ref="O19:AD19"/>
    <mergeCell ref="H20:N20"/>
    <mergeCell ref="O20:AD20"/>
    <mergeCell ref="B18:G21"/>
    <mergeCell ref="C5:AA5"/>
    <mergeCell ref="B22:AK22"/>
    <mergeCell ref="B23:J23"/>
    <mergeCell ref="B24:J24"/>
  </mergeCells>
  <printOptions horizontalCentered="1"/>
  <pageMargins left="0.23622047244094491" right="0.15748031496062992" top="0.59055118110236227" bottom="0.15748031496062992" header="0.15748031496062992" footer="0.15748031496062992"/>
  <pageSetup paperSize="9"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490E-9EA6-496A-9AAE-75ABBAE3D290}">
  <dimension ref="A1:AS44"/>
  <sheetViews>
    <sheetView view="pageBreakPreview" zoomScaleSheetLayoutView="100" workbookViewId="0">
      <selection activeCell="AI9" sqref="AI9"/>
    </sheetView>
  </sheetViews>
  <sheetFormatPr defaultRowHeight="14.4" x14ac:dyDescent="0.3"/>
  <cols>
    <col min="1" max="1" width="7.109375" style="47" bestFit="1" customWidth="1"/>
    <col min="2" max="2" width="31.6640625" style="72" bestFit="1" customWidth="1"/>
    <col min="3" max="3" width="4.109375" style="47" bestFit="1" customWidth="1"/>
    <col min="4" max="4" width="3.109375" style="47" bestFit="1" customWidth="1"/>
    <col min="5" max="5" width="3.33203125" style="47" bestFit="1" customWidth="1"/>
    <col min="6" max="6" width="3.77734375" style="47" bestFit="1" customWidth="1"/>
    <col min="7" max="7" width="4.77734375" style="47" customWidth="1"/>
    <col min="8" max="8" width="4" style="47" bestFit="1" customWidth="1"/>
    <col min="9" max="9" width="4.33203125" style="47" bestFit="1" customWidth="1"/>
    <col min="10" max="10" width="4.109375" style="47" bestFit="1" customWidth="1"/>
    <col min="11" max="11" width="3.109375" style="47" bestFit="1" customWidth="1"/>
    <col min="12" max="12" width="3.33203125" style="47" customWidth="1"/>
    <col min="13" max="13" width="3.77734375" style="47" bestFit="1" customWidth="1"/>
    <col min="14" max="14" width="4.77734375" style="47" bestFit="1" customWidth="1"/>
    <col min="15" max="15" width="3.88671875" style="47" customWidth="1"/>
    <col min="16" max="16" width="4.33203125" style="47" bestFit="1" customWidth="1"/>
    <col min="17" max="17" width="4.109375" style="47" bestFit="1" customWidth="1"/>
    <col min="18" max="18" width="3.109375" style="47" bestFit="1" customWidth="1"/>
    <col min="19" max="19" width="3.33203125" style="47" bestFit="1" customWidth="1"/>
    <col min="20" max="20" width="3.77734375" style="47" bestFit="1" customWidth="1"/>
    <col min="21" max="21" width="3" style="47" bestFit="1" customWidth="1"/>
    <col min="22" max="22" width="3.109375" style="47" bestFit="1" customWidth="1"/>
    <col min="23" max="23" width="3.33203125" style="47" bestFit="1" customWidth="1"/>
    <col min="24" max="24" width="4.109375" style="47" bestFit="1" customWidth="1"/>
    <col min="25" max="25" width="3.109375" style="47" bestFit="1" customWidth="1"/>
    <col min="26" max="26" width="3.33203125" style="47" bestFit="1" customWidth="1"/>
    <col min="27" max="27" width="3.77734375" style="47" bestFit="1" customWidth="1"/>
    <col min="28" max="28" width="3" style="47" hidden="1" customWidth="1"/>
    <col min="29" max="29" width="3.109375" style="47" hidden="1" customWidth="1"/>
    <col min="30" max="33" width="3.33203125" style="47" hidden="1" customWidth="1"/>
    <col min="34" max="34" width="9.6640625" style="47" bestFit="1" customWidth="1"/>
    <col min="35" max="35" width="13.77734375" style="47" customWidth="1"/>
    <col min="36" max="36" width="8.88671875" style="47" customWidth="1"/>
    <col min="37" max="37" width="14.33203125" style="62" customWidth="1"/>
    <col min="38" max="16384" width="8.88671875" style="47"/>
  </cols>
  <sheetData>
    <row r="1" spans="1:45" ht="17.399999999999999" x14ac:dyDescent="0.3"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</row>
    <row r="2" spans="1:45" ht="15.6" x14ac:dyDescent="0.3">
      <c r="B2" s="88" t="s">
        <v>1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</row>
    <row r="3" spans="1:45" ht="15.6" x14ac:dyDescent="0.3">
      <c r="B3" s="89" t="s">
        <v>2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</row>
    <row r="4" spans="1:45" ht="15.6" customHeight="1" x14ac:dyDescent="0.3">
      <c r="A4" s="90" t="s">
        <v>73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</row>
    <row r="5" spans="1:45" ht="34.799999999999997" customHeight="1" x14ac:dyDescent="0.3">
      <c r="A5" s="91" t="s">
        <v>30</v>
      </c>
      <c r="B5" s="92" t="s">
        <v>3</v>
      </c>
      <c r="C5" s="105" t="s">
        <v>4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106"/>
      <c r="AH5" s="94" t="s">
        <v>46</v>
      </c>
      <c r="AI5" s="94" t="s">
        <v>47</v>
      </c>
      <c r="AJ5" s="91" t="s">
        <v>48</v>
      </c>
      <c r="AK5" s="96" t="s">
        <v>49</v>
      </c>
    </row>
    <row r="6" spans="1:45" ht="26.4" customHeight="1" x14ac:dyDescent="0.3">
      <c r="A6" s="91"/>
      <c r="B6" s="92"/>
      <c r="C6" s="73">
        <v>1</v>
      </c>
      <c r="D6" s="73">
        <v>2</v>
      </c>
      <c r="E6" s="73">
        <v>3</v>
      </c>
      <c r="F6" s="73">
        <v>4</v>
      </c>
      <c r="G6" s="73">
        <v>5</v>
      </c>
      <c r="H6" s="73">
        <v>6</v>
      </c>
      <c r="I6" s="73">
        <v>7</v>
      </c>
      <c r="J6" s="73">
        <v>8</v>
      </c>
      <c r="K6" s="73">
        <v>9</v>
      </c>
      <c r="L6" s="73">
        <v>10</v>
      </c>
      <c r="M6" s="73">
        <v>11</v>
      </c>
      <c r="N6" s="73">
        <v>12</v>
      </c>
      <c r="O6" s="73">
        <v>13</v>
      </c>
      <c r="P6" s="73">
        <v>14</v>
      </c>
      <c r="Q6" s="73">
        <v>15</v>
      </c>
      <c r="R6" s="73">
        <v>16</v>
      </c>
      <c r="S6" s="73">
        <v>17</v>
      </c>
      <c r="T6" s="73">
        <v>18</v>
      </c>
      <c r="U6" s="73">
        <v>19</v>
      </c>
      <c r="V6" s="73">
        <v>20</v>
      </c>
      <c r="W6" s="73">
        <v>21</v>
      </c>
      <c r="X6" s="73">
        <v>22</v>
      </c>
      <c r="Y6" s="73">
        <v>23</v>
      </c>
      <c r="Z6" s="73">
        <v>24</v>
      </c>
      <c r="AA6" s="73">
        <v>25</v>
      </c>
      <c r="AB6" s="73">
        <v>26</v>
      </c>
      <c r="AC6" s="73">
        <v>27</v>
      </c>
      <c r="AD6" s="73">
        <v>28</v>
      </c>
      <c r="AE6" s="73">
        <v>29</v>
      </c>
      <c r="AF6" s="73">
        <v>30</v>
      </c>
      <c r="AG6" s="73">
        <v>31</v>
      </c>
      <c r="AH6" s="94"/>
      <c r="AI6" s="94"/>
      <c r="AJ6" s="91"/>
      <c r="AK6" s="96"/>
    </row>
    <row r="7" spans="1:45" ht="26.4" x14ac:dyDescent="0.3">
      <c r="A7" s="91"/>
      <c r="B7" s="92"/>
      <c r="C7" s="73" t="s">
        <v>40</v>
      </c>
      <c r="D7" s="73" t="s">
        <v>33</v>
      </c>
      <c r="E7" s="73" t="s">
        <v>34</v>
      </c>
      <c r="F7" s="73" t="s">
        <v>36</v>
      </c>
      <c r="G7" s="73" t="s">
        <v>35</v>
      </c>
      <c r="H7" s="73" t="s">
        <v>38</v>
      </c>
      <c r="I7" s="73" t="s">
        <v>39</v>
      </c>
      <c r="J7" s="73" t="s">
        <v>40</v>
      </c>
      <c r="K7" s="73" t="s">
        <v>33</v>
      </c>
      <c r="L7" s="73" t="s">
        <v>34</v>
      </c>
      <c r="M7" s="73" t="s">
        <v>36</v>
      </c>
      <c r="N7" s="73" t="s">
        <v>35</v>
      </c>
      <c r="O7" s="73" t="s">
        <v>38</v>
      </c>
      <c r="P7" s="73" t="s">
        <v>39</v>
      </c>
      <c r="Q7" s="73" t="s">
        <v>40</v>
      </c>
      <c r="R7" s="73" t="s">
        <v>33</v>
      </c>
      <c r="S7" s="73" t="s">
        <v>34</v>
      </c>
      <c r="T7" s="73" t="s">
        <v>36</v>
      </c>
      <c r="U7" s="73" t="s">
        <v>35</v>
      </c>
      <c r="V7" s="73" t="s">
        <v>38</v>
      </c>
      <c r="W7" s="73" t="s">
        <v>39</v>
      </c>
      <c r="X7" s="73" t="s">
        <v>40</v>
      </c>
      <c r="Y7" s="73" t="s">
        <v>33</v>
      </c>
      <c r="Z7" s="73" t="s">
        <v>34</v>
      </c>
      <c r="AA7" s="73" t="s">
        <v>36</v>
      </c>
      <c r="AB7" s="73" t="s">
        <v>35</v>
      </c>
      <c r="AC7" s="73" t="s">
        <v>38</v>
      </c>
      <c r="AD7" s="73" t="s">
        <v>39</v>
      </c>
      <c r="AE7" s="73" t="s">
        <v>40</v>
      </c>
      <c r="AF7" s="73" t="s">
        <v>33</v>
      </c>
      <c r="AG7" s="73" t="s">
        <v>34</v>
      </c>
      <c r="AH7" s="94"/>
      <c r="AI7" s="94"/>
      <c r="AJ7" s="91"/>
      <c r="AK7" s="96"/>
    </row>
    <row r="8" spans="1:45" s="54" customFormat="1" ht="17.399999999999999" x14ac:dyDescent="0.3">
      <c r="A8" s="30" t="s">
        <v>24</v>
      </c>
      <c r="B8" s="48" t="s">
        <v>17</v>
      </c>
      <c r="C8" s="74"/>
      <c r="D8" s="76">
        <v>1</v>
      </c>
      <c r="E8" s="76">
        <v>1</v>
      </c>
      <c r="F8" s="76"/>
      <c r="G8" s="74"/>
      <c r="H8" s="74">
        <v>1</v>
      </c>
      <c r="I8" s="74">
        <v>1</v>
      </c>
      <c r="J8" s="74"/>
      <c r="K8" s="76"/>
      <c r="L8" s="76"/>
      <c r="M8" s="76">
        <v>1</v>
      </c>
      <c r="N8" s="74"/>
      <c r="O8" s="74"/>
      <c r="P8" s="74"/>
      <c r="Q8" s="74"/>
      <c r="R8" s="76">
        <v>1</v>
      </c>
      <c r="S8" s="76">
        <v>1</v>
      </c>
      <c r="T8" s="76">
        <v>1</v>
      </c>
      <c r="U8" s="74"/>
      <c r="V8" s="74"/>
      <c r="W8" s="74"/>
      <c r="X8" s="74"/>
      <c r="Y8" s="76">
        <v>1</v>
      </c>
      <c r="Z8" s="76">
        <v>1</v>
      </c>
      <c r="AA8" s="76">
        <v>1</v>
      </c>
      <c r="AB8" s="74"/>
      <c r="AC8" s="74"/>
      <c r="AD8" s="74"/>
      <c r="AE8" s="74"/>
      <c r="AF8" s="76"/>
      <c r="AG8" s="76"/>
      <c r="AH8" s="9">
        <f t="shared" ref="AH8:AH12" si="0">COUNT(C8:AD8)</f>
        <v>11</v>
      </c>
      <c r="AI8" s="9">
        <v>12</v>
      </c>
      <c r="AJ8" s="51">
        <v>75000</v>
      </c>
      <c r="AK8" s="52">
        <f>AJ8/AI8*AH8</f>
        <v>68750</v>
      </c>
      <c r="AM8" s="55"/>
    </row>
    <row r="9" spans="1:45" s="54" customFormat="1" ht="17.399999999999999" x14ac:dyDescent="0.3">
      <c r="A9" s="30" t="s">
        <v>25</v>
      </c>
      <c r="B9" s="48" t="s">
        <v>18</v>
      </c>
      <c r="C9" s="74"/>
      <c r="D9" s="74"/>
      <c r="E9" s="76">
        <v>1</v>
      </c>
      <c r="F9" s="74"/>
      <c r="G9" s="76">
        <v>1</v>
      </c>
      <c r="H9" s="74"/>
      <c r="I9" s="74"/>
      <c r="J9" s="74"/>
      <c r="K9" s="74"/>
      <c r="L9" s="76">
        <v>1</v>
      </c>
      <c r="M9" s="74"/>
      <c r="N9" s="76">
        <v>1</v>
      </c>
      <c r="O9" s="74"/>
      <c r="P9" s="74"/>
      <c r="Q9" s="74"/>
      <c r="R9" s="74"/>
      <c r="S9" s="76">
        <v>1</v>
      </c>
      <c r="T9" s="74"/>
      <c r="U9" s="76"/>
      <c r="V9" s="74"/>
      <c r="W9" s="74"/>
      <c r="X9" s="74"/>
      <c r="Y9" s="74"/>
      <c r="Z9" s="76">
        <v>1</v>
      </c>
      <c r="AA9" s="74"/>
      <c r="AB9" s="76"/>
      <c r="AC9" s="74"/>
      <c r="AD9" s="74"/>
      <c r="AE9" s="74"/>
      <c r="AF9" s="74"/>
      <c r="AG9" s="76"/>
      <c r="AH9" s="9">
        <f t="shared" si="0"/>
        <v>6</v>
      </c>
      <c r="AI9" s="9">
        <v>7</v>
      </c>
      <c r="AJ9" s="51">
        <v>26400</v>
      </c>
      <c r="AK9" s="52">
        <f t="shared" ref="AK9:AK12" si="1">AJ9/AI9*AH9</f>
        <v>22628.571428571428</v>
      </c>
    </row>
    <row r="10" spans="1:45" s="54" customFormat="1" ht="17.399999999999999" x14ac:dyDescent="0.3">
      <c r="A10" s="30" t="s">
        <v>27</v>
      </c>
      <c r="B10" s="48" t="s">
        <v>20</v>
      </c>
      <c r="C10" s="74"/>
      <c r="D10" s="74"/>
      <c r="E10" s="76"/>
      <c r="F10" s="76"/>
      <c r="G10" s="74"/>
      <c r="H10" s="74"/>
      <c r="I10" s="74"/>
      <c r="J10" s="74"/>
      <c r="K10" s="74"/>
      <c r="L10" s="76"/>
      <c r="M10" s="76"/>
      <c r="N10" s="74"/>
      <c r="O10" s="74"/>
      <c r="P10" s="74"/>
      <c r="Q10" s="74"/>
      <c r="R10" s="74"/>
      <c r="S10" s="76"/>
      <c r="T10" s="76"/>
      <c r="U10" s="74"/>
      <c r="V10" s="74"/>
      <c r="W10" s="74"/>
      <c r="X10" s="74"/>
      <c r="Y10" s="74"/>
      <c r="Z10" s="76"/>
      <c r="AA10" s="76"/>
      <c r="AB10" s="74"/>
      <c r="AC10" s="74"/>
      <c r="AD10" s="74"/>
      <c r="AE10" s="74"/>
      <c r="AF10" s="74"/>
      <c r="AG10" s="76"/>
      <c r="AH10" s="9">
        <f t="shared" si="0"/>
        <v>0</v>
      </c>
      <c r="AI10" s="9">
        <v>8</v>
      </c>
      <c r="AJ10" s="51">
        <v>20000</v>
      </c>
      <c r="AK10" s="52">
        <f t="shared" si="1"/>
        <v>0</v>
      </c>
      <c r="AM10" s="58"/>
      <c r="AN10" s="58"/>
      <c r="AO10" s="58"/>
      <c r="AP10" s="58"/>
      <c r="AQ10" s="58"/>
      <c r="AR10" s="58"/>
      <c r="AS10" s="58"/>
    </row>
    <row r="11" spans="1:45" ht="17.399999999999999" x14ac:dyDescent="0.3">
      <c r="A11" s="30" t="s">
        <v>28</v>
      </c>
      <c r="B11" s="48" t="s">
        <v>21</v>
      </c>
      <c r="C11" s="74"/>
      <c r="D11" s="76"/>
      <c r="E11" s="76">
        <v>1</v>
      </c>
      <c r="F11" s="74"/>
      <c r="G11" s="74"/>
      <c r="H11" s="76">
        <v>1</v>
      </c>
      <c r="I11" s="74"/>
      <c r="J11" s="74"/>
      <c r="K11" s="76">
        <v>1</v>
      </c>
      <c r="L11" s="76">
        <v>1</v>
      </c>
      <c r="M11" s="74"/>
      <c r="N11" s="74"/>
      <c r="O11" s="76">
        <v>1</v>
      </c>
      <c r="P11" s="74"/>
      <c r="Q11" s="74"/>
      <c r="R11" s="76">
        <v>1</v>
      </c>
      <c r="S11" s="76">
        <v>1</v>
      </c>
      <c r="T11" s="74"/>
      <c r="U11" s="74"/>
      <c r="V11" s="76"/>
      <c r="W11" s="74"/>
      <c r="X11" s="74"/>
      <c r="Y11" s="76">
        <v>1</v>
      </c>
      <c r="Z11" s="76">
        <v>1</v>
      </c>
      <c r="AA11" s="74"/>
      <c r="AB11" s="74"/>
      <c r="AC11" s="76"/>
      <c r="AD11" s="74"/>
      <c r="AE11" s="74"/>
      <c r="AF11" s="76"/>
      <c r="AG11" s="76"/>
      <c r="AH11" s="9">
        <f t="shared" si="0"/>
        <v>9</v>
      </c>
      <c r="AI11" s="9">
        <v>11</v>
      </c>
      <c r="AJ11" s="59">
        <v>42000</v>
      </c>
      <c r="AK11" s="52">
        <f t="shared" si="1"/>
        <v>34363.63636363636</v>
      </c>
      <c r="AM11" s="18"/>
      <c r="AN11" s="60"/>
      <c r="AO11" s="60"/>
      <c r="AP11" s="60"/>
      <c r="AQ11" s="60"/>
      <c r="AR11" s="60"/>
      <c r="AS11" s="60"/>
    </row>
    <row r="12" spans="1:45" ht="17.399999999999999" x14ac:dyDescent="0.3">
      <c r="A12" s="30" t="s">
        <v>29</v>
      </c>
      <c r="B12" s="48" t="s">
        <v>22</v>
      </c>
      <c r="C12" s="74"/>
      <c r="D12" s="76">
        <v>1</v>
      </c>
      <c r="E12" s="74"/>
      <c r="F12" s="74"/>
      <c r="G12" s="76">
        <v>1</v>
      </c>
      <c r="H12" s="74"/>
      <c r="I12" s="74"/>
      <c r="J12" s="74"/>
      <c r="K12" s="76">
        <v>1</v>
      </c>
      <c r="L12" s="74"/>
      <c r="M12" s="74"/>
      <c r="N12" s="76">
        <v>1</v>
      </c>
      <c r="O12" s="74"/>
      <c r="P12" s="74"/>
      <c r="Q12" s="74"/>
      <c r="R12" s="76">
        <v>1</v>
      </c>
      <c r="S12" s="74"/>
      <c r="T12" s="74"/>
      <c r="U12" s="76"/>
      <c r="V12" s="74"/>
      <c r="W12" s="74"/>
      <c r="X12" s="74"/>
      <c r="Y12" s="76">
        <v>1</v>
      </c>
      <c r="Z12" s="74"/>
      <c r="AA12" s="74"/>
      <c r="AB12" s="76"/>
      <c r="AC12" s="74"/>
      <c r="AD12" s="74"/>
      <c r="AE12" s="74"/>
      <c r="AF12" s="76"/>
      <c r="AG12" s="74"/>
      <c r="AH12" s="9">
        <f t="shared" si="0"/>
        <v>6</v>
      </c>
      <c r="AI12" s="9">
        <v>7</v>
      </c>
      <c r="AJ12" s="51">
        <v>26400</v>
      </c>
      <c r="AK12" s="52">
        <f t="shared" si="1"/>
        <v>22628.571428571428</v>
      </c>
      <c r="AM12" s="18"/>
      <c r="AN12" s="60"/>
      <c r="AO12" s="60"/>
      <c r="AP12" s="60"/>
      <c r="AQ12" s="60"/>
      <c r="AR12" s="60"/>
      <c r="AS12" s="60"/>
    </row>
    <row r="13" spans="1:45" ht="17.399999999999999" customHeight="1" x14ac:dyDescent="0.3">
      <c r="A13" s="104" t="s">
        <v>50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68">
        <f>SUM(AK8:AK12)</f>
        <v>148370.77922077919</v>
      </c>
    </row>
    <row r="15" spans="1:45" x14ac:dyDescent="0.3">
      <c r="AJ15" s="65"/>
    </row>
    <row r="19" spans="2:37" ht="14.4" customHeight="1" x14ac:dyDescent="0.3">
      <c r="B19" s="100" t="s">
        <v>14</v>
      </c>
      <c r="C19" s="100"/>
      <c r="D19" s="100"/>
      <c r="E19" s="100"/>
      <c r="F19" s="100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71"/>
      <c r="AF19" s="71"/>
      <c r="AG19" s="71"/>
    </row>
    <row r="20" spans="2:37" ht="14.4" customHeight="1" x14ac:dyDescent="0.3">
      <c r="B20" s="100"/>
      <c r="C20" s="100"/>
      <c r="D20" s="100"/>
      <c r="E20" s="100"/>
      <c r="F20" s="100"/>
      <c r="G20" s="100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71"/>
      <c r="AF20" s="71"/>
      <c r="AG20" s="71"/>
    </row>
    <row r="21" spans="2:37" ht="14.4" customHeight="1" x14ac:dyDescent="0.3">
      <c r="B21" s="100"/>
      <c r="C21" s="100"/>
      <c r="D21" s="100"/>
      <c r="E21" s="100"/>
      <c r="F21" s="100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71"/>
      <c r="AF21" s="71"/>
      <c r="AG21" s="71"/>
    </row>
    <row r="22" spans="2:37" x14ac:dyDescent="0.3">
      <c r="B22" s="100"/>
      <c r="C22" s="100"/>
      <c r="D22" s="100"/>
      <c r="E22" s="100"/>
      <c r="F22" s="100"/>
      <c r="G22" s="100"/>
    </row>
    <row r="23" spans="2:37" ht="18" x14ac:dyDescent="0.3">
      <c r="B23" s="103" t="s">
        <v>58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</row>
    <row r="24" spans="2:37" s="72" customFormat="1" x14ac:dyDescent="0.3">
      <c r="B24" s="95" t="s">
        <v>59</v>
      </c>
      <c r="C24" s="95"/>
      <c r="D24" s="95"/>
      <c r="E24" s="95"/>
      <c r="F24" s="95"/>
      <c r="G24" s="95"/>
      <c r="H24" s="95"/>
      <c r="I24" s="95"/>
      <c r="J24" s="95"/>
      <c r="AK24" s="64"/>
    </row>
    <row r="25" spans="2:37" s="72" customFormat="1" x14ac:dyDescent="0.3">
      <c r="B25" s="95" t="s">
        <v>60</v>
      </c>
      <c r="C25" s="95"/>
      <c r="D25" s="95"/>
      <c r="E25" s="95"/>
      <c r="F25" s="95"/>
      <c r="G25" s="95"/>
      <c r="H25" s="95"/>
      <c r="I25" s="95"/>
      <c r="J25" s="95"/>
      <c r="AK25" s="64"/>
    </row>
    <row r="26" spans="2:37" s="72" customFormat="1" x14ac:dyDescent="0.3">
      <c r="B26" s="95" t="s">
        <v>53</v>
      </c>
      <c r="C26" s="95"/>
      <c r="D26" s="95"/>
      <c r="E26" s="95"/>
      <c r="F26" s="95"/>
      <c r="G26" s="95"/>
      <c r="H26" s="95"/>
      <c r="I26" s="95"/>
      <c r="J26" s="95"/>
      <c r="AK26" s="64"/>
    </row>
    <row r="27" spans="2:37" s="72" customFormat="1" x14ac:dyDescent="0.3">
      <c r="B27" s="72" t="s">
        <v>44</v>
      </c>
      <c r="C27" s="95" t="s">
        <v>61</v>
      </c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AK27" s="64"/>
    </row>
    <row r="28" spans="2:37" s="72" customFormat="1" x14ac:dyDescent="0.3">
      <c r="B28" s="72" t="s">
        <v>54</v>
      </c>
      <c r="C28" s="95" t="s">
        <v>62</v>
      </c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AK28" s="64"/>
    </row>
    <row r="44" spans="7:7" x14ac:dyDescent="0.3">
      <c r="G44" s="47" t="s">
        <v>15</v>
      </c>
    </row>
  </sheetData>
  <mergeCells count="25">
    <mergeCell ref="B1:AK1"/>
    <mergeCell ref="B2:AK2"/>
    <mergeCell ref="B3:AK3"/>
    <mergeCell ref="A4:AK4"/>
    <mergeCell ref="A5:A7"/>
    <mergeCell ref="B5:B7"/>
    <mergeCell ref="AH5:AH7"/>
    <mergeCell ref="AI5:AI7"/>
    <mergeCell ref="AJ5:AJ7"/>
    <mergeCell ref="C28:R28"/>
    <mergeCell ref="AK5:AK7"/>
    <mergeCell ref="A13:AJ13"/>
    <mergeCell ref="B19:G22"/>
    <mergeCell ref="H19:N19"/>
    <mergeCell ref="O19:AD19"/>
    <mergeCell ref="H20:N20"/>
    <mergeCell ref="O20:AD20"/>
    <mergeCell ref="H21:N21"/>
    <mergeCell ref="O21:AD21"/>
    <mergeCell ref="C5:AG5"/>
    <mergeCell ref="B23:AK23"/>
    <mergeCell ref="B24:J24"/>
    <mergeCell ref="B25:J25"/>
    <mergeCell ref="B26:J26"/>
    <mergeCell ref="C27:R27"/>
  </mergeCells>
  <printOptions horizontalCentered="1"/>
  <pageMargins left="0.23622047244094491" right="0.15748031496062992" top="0.59055118110236227" bottom="0.15748031496062992" header="0.15748031496062992" footer="0.15748031496062992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63D7-0F46-4F1F-B2FB-B11842B59379}">
  <dimension ref="A1:AP45"/>
  <sheetViews>
    <sheetView view="pageBreakPreview" zoomScaleSheetLayoutView="100" workbookViewId="0">
      <selection activeCell="E13" sqref="E13"/>
    </sheetView>
  </sheetViews>
  <sheetFormatPr defaultRowHeight="14.4" x14ac:dyDescent="0.3"/>
  <cols>
    <col min="1" max="1" width="7.109375" style="47" bestFit="1" customWidth="1"/>
    <col min="2" max="2" width="31.6640625" style="69" bestFit="1" customWidth="1"/>
    <col min="3" max="3" width="4.109375" style="47" bestFit="1" customWidth="1"/>
    <col min="4" max="4" width="3.109375" style="47" bestFit="1" customWidth="1"/>
    <col min="5" max="5" width="3.33203125" style="47" bestFit="1" customWidth="1"/>
    <col min="6" max="6" width="3.77734375" style="47" bestFit="1" customWidth="1"/>
    <col min="7" max="7" width="4.77734375" style="47" customWidth="1"/>
    <col min="8" max="8" width="4" style="47" bestFit="1" customWidth="1"/>
    <col min="9" max="9" width="4.33203125" style="47" bestFit="1" customWidth="1"/>
    <col min="10" max="10" width="4.109375" style="47" bestFit="1" customWidth="1"/>
    <col min="11" max="11" width="3.109375" style="47" bestFit="1" customWidth="1"/>
    <col min="12" max="12" width="3.33203125" style="47" customWidth="1"/>
    <col min="13" max="13" width="3.77734375" style="47" bestFit="1" customWidth="1"/>
    <col min="14" max="14" width="4.77734375" style="47" bestFit="1" customWidth="1"/>
    <col min="15" max="15" width="3.88671875" style="47" customWidth="1"/>
    <col min="16" max="16" width="4.33203125" style="47" bestFit="1" customWidth="1"/>
    <col min="17" max="17" width="4.109375" style="47" bestFit="1" customWidth="1"/>
    <col min="18" max="18" width="3.109375" style="47" bestFit="1" customWidth="1"/>
    <col min="19" max="19" width="3.33203125" style="47" bestFit="1" customWidth="1"/>
    <col min="20" max="20" width="3.77734375" style="47" bestFit="1" customWidth="1"/>
    <col min="21" max="21" width="3" style="47" bestFit="1" customWidth="1"/>
    <col min="22" max="22" width="3.109375" style="47" bestFit="1" customWidth="1"/>
    <col min="23" max="23" width="3.33203125" style="47" bestFit="1" customWidth="1"/>
    <col min="24" max="24" width="4.109375" style="47" bestFit="1" customWidth="1"/>
    <col min="25" max="25" width="3.109375" style="47" bestFit="1" customWidth="1"/>
    <col min="26" max="26" width="3.33203125" style="47" bestFit="1" customWidth="1"/>
    <col min="27" max="27" width="3.77734375" style="47" bestFit="1" customWidth="1"/>
    <col min="28" max="28" width="3" style="47" bestFit="1" customWidth="1"/>
    <col min="29" max="29" width="3.109375" style="47" bestFit="1" customWidth="1"/>
    <col min="30" max="30" width="3.33203125" style="47" bestFit="1" customWidth="1"/>
    <col min="31" max="31" width="9.6640625" style="47" bestFit="1" customWidth="1"/>
    <col min="32" max="32" width="13.77734375" style="47" customWidth="1"/>
    <col min="33" max="33" width="8.88671875" style="47" customWidth="1"/>
    <col min="34" max="34" width="14.33203125" style="62" customWidth="1"/>
    <col min="35" max="16384" width="8.88671875" style="47"/>
  </cols>
  <sheetData>
    <row r="1" spans="1:42" ht="17.399999999999999" x14ac:dyDescent="0.3"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</row>
    <row r="2" spans="1:42" ht="15.6" x14ac:dyDescent="0.3">
      <c r="B2" s="88" t="s">
        <v>1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</row>
    <row r="3" spans="1:42" ht="15.6" x14ac:dyDescent="0.3">
      <c r="B3" s="89" t="s">
        <v>2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</row>
    <row r="4" spans="1:42" ht="15.6" customHeight="1" x14ac:dyDescent="0.3">
      <c r="A4" s="107" t="s">
        <v>72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</row>
    <row r="5" spans="1:42" ht="34.799999999999997" customHeight="1" x14ac:dyDescent="0.3">
      <c r="A5" s="91" t="s">
        <v>30</v>
      </c>
      <c r="B5" s="92" t="s">
        <v>3</v>
      </c>
      <c r="C5" s="92" t="s">
        <v>4</v>
      </c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4" t="s">
        <v>46</v>
      </c>
      <c r="AF5" s="94" t="s">
        <v>47</v>
      </c>
      <c r="AG5" s="91" t="s">
        <v>48</v>
      </c>
      <c r="AH5" s="96" t="s">
        <v>49</v>
      </c>
    </row>
    <row r="6" spans="1:42" ht="26.4" customHeight="1" x14ac:dyDescent="0.3">
      <c r="A6" s="91"/>
      <c r="B6" s="92"/>
      <c r="C6" s="70">
        <v>1</v>
      </c>
      <c r="D6" s="70">
        <v>2</v>
      </c>
      <c r="E6" s="70">
        <v>3</v>
      </c>
      <c r="F6" s="70">
        <v>4</v>
      </c>
      <c r="G6" s="70">
        <v>5</v>
      </c>
      <c r="H6" s="70">
        <v>6</v>
      </c>
      <c r="I6" s="70">
        <v>7</v>
      </c>
      <c r="J6" s="70">
        <v>8</v>
      </c>
      <c r="K6" s="70">
        <v>9</v>
      </c>
      <c r="L6" s="70">
        <v>10</v>
      </c>
      <c r="M6" s="70">
        <v>11</v>
      </c>
      <c r="N6" s="70">
        <v>12</v>
      </c>
      <c r="O6" s="70">
        <v>13</v>
      </c>
      <c r="P6" s="70">
        <v>14</v>
      </c>
      <c r="Q6" s="70">
        <v>15</v>
      </c>
      <c r="R6" s="70">
        <v>16</v>
      </c>
      <c r="S6" s="70">
        <v>17</v>
      </c>
      <c r="T6" s="70">
        <v>18</v>
      </c>
      <c r="U6" s="70">
        <v>19</v>
      </c>
      <c r="V6" s="70">
        <v>20</v>
      </c>
      <c r="W6" s="70">
        <v>21</v>
      </c>
      <c r="X6" s="70">
        <v>22</v>
      </c>
      <c r="Y6" s="70">
        <v>23</v>
      </c>
      <c r="Z6" s="70">
        <v>24</v>
      </c>
      <c r="AA6" s="70">
        <v>25</v>
      </c>
      <c r="AB6" s="70">
        <v>26</v>
      </c>
      <c r="AC6" s="70">
        <v>27</v>
      </c>
      <c r="AD6" s="70">
        <v>28</v>
      </c>
      <c r="AE6" s="94"/>
      <c r="AF6" s="94"/>
      <c r="AG6" s="91"/>
      <c r="AH6" s="96"/>
    </row>
    <row r="7" spans="1:42" ht="26.4" x14ac:dyDescent="0.3">
      <c r="A7" s="91"/>
      <c r="B7" s="92"/>
      <c r="C7" s="70" t="s">
        <v>40</v>
      </c>
      <c r="D7" s="70" t="s">
        <v>33</v>
      </c>
      <c r="E7" s="70" t="s">
        <v>34</v>
      </c>
      <c r="F7" s="70" t="s">
        <v>36</v>
      </c>
      <c r="G7" s="70" t="s">
        <v>35</v>
      </c>
      <c r="H7" s="70" t="s">
        <v>38</v>
      </c>
      <c r="I7" s="70" t="s">
        <v>39</v>
      </c>
      <c r="J7" s="70" t="s">
        <v>40</v>
      </c>
      <c r="K7" s="70" t="s">
        <v>33</v>
      </c>
      <c r="L7" s="70" t="s">
        <v>34</v>
      </c>
      <c r="M7" s="70" t="s">
        <v>36</v>
      </c>
      <c r="N7" s="70" t="s">
        <v>35</v>
      </c>
      <c r="O7" s="70" t="s">
        <v>38</v>
      </c>
      <c r="P7" s="70" t="s">
        <v>39</v>
      </c>
      <c r="Q7" s="70" t="s">
        <v>40</v>
      </c>
      <c r="R7" s="70" t="s">
        <v>33</v>
      </c>
      <c r="S7" s="70" t="s">
        <v>34</v>
      </c>
      <c r="T7" s="70" t="s">
        <v>36</v>
      </c>
      <c r="U7" s="70" t="s">
        <v>35</v>
      </c>
      <c r="V7" s="70" t="s">
        <v>38</v>
      </c>
      <c r="W7" s="70" t="s">
        <v>39</v>
      </c>
      <c r="X7" s="70" t="s">
        <v>40</v>
      </c>
      <c r="Y7" s="70" t="s">
        <v>33</v>
      </c>
      <c r="Z7" s="70" t="s">
        <v>34</v>
      </c>
      <c r="AA7" s="70" t="s">
        <v>36</v>
      </c>
      <c r="AB7" s="70" t="s">
        <v>35</v>
      </c>
      <c r="AC7" s="70" t="s">
        <v>38</v>
      </c>
      <c r="AD7" s="70" t="s">
        <v>39</v>
      </c>
      <c r="AE7" s="94"/>
      <c r="AF7" s="94"/>
      <c r="AG7" s="91"/>
      <c r="AH7" s="96"/>
    </row>
    <row r="8" spans="1:42" s="54" customFormat="1" ht="17.399999999999999" x14ac:dyDescent="0.3">
      <c r="A8" s="30" t="s">
        <v>24</v>
      </c>
      <c r="B8" s="48" t="s">
        <v>17</v>
      </c>
      <c r="C8" s="74"/>
      <c r="D8" s="50">
        <v>1</v>
      </c>
      <c r="E8" s="50">
        <v>1</v>
      </c>
      <c r="F8" s="50">
        <v>1</v>
      </c>
      <c r="G8" s="74"/>
      <c r="H8" s="75"/>
      <c r="I8" s="75"/>
      <c r="J8" s="74"/>
      <c r="K8" s="50">
        <v>1</v>
      </c>
      <c r="L8" s="50">
        <v>1</v>
      </c>
      <c r="M8" s="50">
        <v>1</v>
      </c>
      <c r="N8" s="74"/>
      <c r="O8" s="75"/>
      <c r="P8" s="75"/>
      <c r="Q8" s="74"/>
      <c r="R8" s="50">
        <v>1</v>
      </c>
      <c r="S8" s="50">
        <v>1</v>
      </c>
      <c r="T8" s="50"/>
      <c r="U8" s="74"/>
      <c r="V8" s="75"/>
      <c r="W8" s="75"/>
      <c r="X8" s="74"/>
      <c r="Y8" s="50">
        <v>1</v>
      </c>
      <c r="Z8" s="50">
        <v>1</v>
      </c>
      <c r="AA8" s="50">
        <v>1</v>
      </c>
      <c r="AB8" s="74"/>
      <c r="AC8" s="75">
        <v>1</v>
      </c>
      <c r="AD8" s="75"/>
      <c r="AE8" s="9">
        <f t="shared" ref="AE8:AE13" si="0">COUNT(C8:AD8)</f>
        <v>12</v>
      </c>
      <c r="AF8" s="9">
        <v>12</v>
      </c>
      <c r="AG8" s="51">
        <v>75000</v>
      </c>
      <c r="AH8" s="52">
        <f>AG8/AF8*AE8</f>
        <v>75000</v>
      </c>
      <c r="AJ8" s="55"/>
    </row>
    <row r="9" spans="1:42" s="54" customFormat="1" ht="17.399999999999999" x14ac:dyDescent="0.3">
      <c r="A9" s="30" t="s">
        <v>25</v>
      </c>
      <c r="B9" s="48" t="s">
        <v>18</v>
      </c>
      <c r="C9" s="74"/>
      <c r="D9" s="74"/>
      <c r="E9" s="50">
        <v>1</v>
      </c>
      <c r="F9" s="74"/>
      <c r="G9" s="50">
        <v>1</v>
      </c>
      <c r="H9" s="74"/>
      <c r="I9" s="74"/>
      <c r="J9" s="74"/>
      <c r="K9" s="74"/>
      <c r="L9" s="50">
        <v>1</v>
      </c>
      <c r="M9" s="74"/>
      <c r="N9" s="50">
        <v>1</v>
      </c>
      <c r="O9" s="74"/>
      <c r="P9" s="74"/>
      <c r="Q9" s="74"/>
      <c r="R9" s="74"/>
      <c r="S9" s="50">
        <v>1</v>
      </c>
      <c r="T9" s="74"/>
      <c r="U9" s="50">
        <v>1</v>
      </c>
      <c r="V9" s="74"/>
      <c r="W9" s="74"/>
      <c r="X9" s="74"/>
      <c r="Y9" s="74"/>
      <c r="Z9" s="50">
        <v>1</v>
      </c>
      <c r="AA9" s="74"/>
      <c r="AB9" s="50">
        <v>1</v>
      </c>
      <c r="AC9" s="74"/>
      <c r="AD9" s="74"/>
      <c r="AE9" s="9">
        <f t="shared" si="0"/>
        <v>8</v>
      </c>
      <c r="AF9" s="9">
        <v>8</v>
      </c>
      <c r="AG9" s="51">
        <v>26400</v>
      </c>
      <c r="AH9" s="52">
        <f t="shared" ref="AH9:AH13" si="1">AG9/AF9*AE9</f>
        <v>26400</v>
      </c>
    </row>
    <row r="10" spans="1:42" s="54" customFormat="1" ht="17.399999999999999" x14ac:dyDescent="0.3">
      <c r="A10" s="30" t="s">
        <v>26</v>
      </c>
      <c r="B10" s="48" t="s">
        <v>19</v>
      </c>
      <c r="C10" s="74"/>
      <c r="D10" s="74"/>
      <c r="E10" s="74"/>
      <c r="F10" s="74"/>
      <c r="G10" s="74"/>
      <c r="H10" s="74"/>
      <c r="I10" s="50"/>
      <c r="J10" s="74"/>
      <c r="K10" s="74"/>
      <c r="L10" s="74"/>
      <c r="M10" s="74"/>
      <c r="N10" s="74"/>
      <c r="O10" s="74"/>
      <c r="P10" s="50">
        <v>1</v>
      </c>
      <c r="Q10" s="74"/>
      <c r="R10" s="74"/>
      <c r="S10" s="74"/>
      <c r="T10" s="74"/>
      <c r="U10" s="74"/>
      <c r="V10" s="74"/>
      <c r="W10" s="50"/>
      <c r="X10" s="74"/>
      <c r="Y10" s="74"/>
      <c r="Z10" s="74"/>
      <c r="AA10" s="74"/>
      <c r="AB10" s="74"/>
      <c r="AC10" s="74"/>
      <c r="AD10" s="50"/>
      <c r="AE10" s="9">
        <f t="shared" si="0"/>
        <v>1</v>
      </c>
      <c r="AF10" s="9">
        <v>4</v>
      </c>
      <c r="AG10" s="51">
        <v>2000</v>
      </c>
      <c r="AH10" s="52">
        <f>AG10*AE10</f>
        <v>2000</v>
      </c>
    </row>
    <row r="11" spans="1:42" s="54" customFormat="1" ht="17.399999999999999" x14ac:dyDescent="0.3">
      <c r="A11" s="30" t="s">
        <v>27</v>
      </c>
      <c r="B11" s="48" t="s">
        <v>20</v>
      </c>
      <c r="C11" s="74"/>
      <c r="D11" s="74"/>
      <c r="E11" s="50">
        <v>1</v>
      </c>
      <c r="F11" s="50">
        <v>1</v>
      </c>
      <c r="G11" s="75"/>
      <c r="H11" s="75"/>
      <c r="I11" s="75"/>
      <c r="J11" s="74"/>
      <c r="K11" s="74">
        <v>1</v>
      </c>
      <c r="L11" s="50">
        <v>1</v>
      </c>
      <c r="M11" s="50">
        <v>1</v>
      </c>
      <c r="N11" s="75"/>
      <c r="O11" s="75"/>
      <c r="P11" s="75"/>
      <c r="Q11" s="74"/>
      <c r="R11" s="74"/>
      <c r="S11" s="50"/>
      <c r="T11" s="50"/>
      <c r="U11" s="75"/>
      <c r="V11" s="75"/>
      <c r="W11" s="75"/>
      <c r="X11" s="74"/>
      <c r="Y11" s="74"/>
      <c r="Z11" s="50">
        <v>1</v>
      </c>
      <c r="AA11" s="50"/>
      <c r="AB11" s="75">
        <v>1</v>
      </c>
      <c r="AC11" s="75"/>
      <c r="AD11" s="75"/>
      <c r="AE11" s="9">
        <f t="shared" si="0"/>
        <v>7</v>
      </c>
      <c r="AF11" s="9">
        <v>8</v>
      </c>
      <c r="AG11" s="51">
        <v>20000</v>
      </c>
      <c r="AH11" s="52">
        <f t="shared" si="1"/>
        <v>17500</v>
      </c>
      <c r="AJ11" s="58"/>
      <c r="AK11" s="58"/>
      <c r="AL11" s="58"/>
      <c r="AM11" s="58"/>
      <c r="AN11" s="58"/>
      <c r="AO11" s="58"/>
      <c r="AP11" s="58"/>
    </row>
    <row r="12" spans="1:42" ht="17.399999999999999" x14ac:dyDescent="0.3">
      <c r="A12" s="30" t="s">
        <v>28</v>
      </c>
      <c r="B12" s="48" t="s">
        <v>21</v>
      </c>
      <c r="C12" s="74"/>
      <c r="D12" s="50">
        <v>1</v>
      </c>
      <c r="E12" s="50">
        <v>1</v>
      </c>
      <c r="F12" s="74"/>
      <c r="G12" s="74"/>
      <c r="H12" s="50">
        <v>1</v>
      </c>
      <c r="I12" s="74"/>
      <c r="J12" s="74"/>
      <c r="K12" s="50">
        <v>1</v>
      </c>
      <c r="L12" s="50">
        <v>1</v>
      </c>
      <c r="M12" s="74">
        <v>1</v>
      </c>
      <c r="N12" s="74"/>
      <c r="O12" s="50"/>
      <c r="P12" s="74"/>
      <c r="Q12" s="74"/>
      <c r="R12" s="50">
        <v>1</v>
      </c>
      <c r="S12" s="50"/>
      <c r="T12" s="74"/>
      <c r="U12" s="74"/>
      <c r="V12" s="50"/>
      <c r="W12" s="74"/>
      <c r="X12" s="74"/>
      <c r="Y12" s="50"/>
      <c r="Z12" s="50">
        <v>1</v>
      </c>
      <c r="AA12" s="74"/>
      <c r="AB12" s="74"/>
      <c r="AC12" s="50"/>
      <c r="AD12" s="74"/>
      <c r="AE12" s="9">
        <f t="shared" si="0"/>
        <v>8</v>
      </c>
      <c r="AF12" s="9">
        <v>12</v>
      </c>
      <c r="AG12" s="59">
        <v>42000</v>
      </c>
      <c r="AH12" s="52">
        <f t="shared" si="1"/>
        <v>28000</v>
      </c>
      <c r="AJ12" s="18"/>
      <c r="AK12" s="60"/>
      <c r="AL12" s="60"/>
      <c r="AM12" s="60"/>
      <c r="AN12" s="60"/>
      <c r="AO12" s="60"/>
      <c r="AP12" s="60"/>
    </row>
    <row r="13" spans="1:42" ht="17.399999999999999" x14ac:dyDescent="0.3">
      <c r="A13" s="30" t="s">
        <v>29</v>
      </c>
      <c r="B13" s="48" t="s">
        <v>22</v>
      </c>
      <c r="C13" s="74"/>
      <c r="D13" s="50">
        <v>1</v>
      </c>
      <c r="E13" s="74"/>
      <c r="F13" s="74"/>
      <c r="G13" s="50">
        <v>1</v>
      </c>
      <c r="H13" s="74"/>
      <c r="I13" s="74"/>
      <c r="J13" s="74"/>
      <c r="K13" s="50">
        <v>1</v>
      </c>
      <c r="L13" s="74"/>
      <c r="M13" s="74"/>
      <c r="N13" s="50">
        <v>1</v>
      </c>
      <c r="O13" s="74"/>
      <c r="P13" s="74"/>
      <c r="Q13" s="74"/>
      <c r="R13" s="50">
        <v>1</v>
      </c>
      <c r="S13" s="74"/>
      <c r="T13" s="74"/>
      <c r="U13" s="50">
        <v>1</v>
      </c>
      <c r="V13" s="74"/>
      <c r="W13" s="74"/>
      <c r="X13" s="74"/>
      <c r="Y13" s="50">
        <v>1</v>
      </c>
      <c r="Z13" s="74"/>
      <c r="AA13" s="74"/>
      <c r="AB13" s="50">
        <v>1</v>
      </c>
      <c r="AC13" s="74"/>
      <c r="AD13" s="74"/>
      <c r="AE13" s="9">
        <f t="shared" si="0"/>
        <v>8</v>
      </c>
      <c r="AF13" s="9">
        <v>8</v>
      </c>
      <c r="AG13" s="51">
        <v>26400</v>
      </c>
      <c r="AH13" s="52">
        <f t="shared" si="1"/>
        <v>26400</v>
      </c>
      <c r="AJ13" s="18"/>
      <c r="AK13" s="60"/>
      <c r="AL13" s="60"/>
      <c r="AM13" s="60"/>
      <c r="AN13" s="60"/>
      <c r="AO13" s="60"/>
      <c r="AP13" s="60"/>
    </row>
    <row r="14" spans="1:42" ht="17.399999999999999" customHeight="1" x14ac:dyDescent="0.3">
      <c r="A14" s="104" t="s">
        <v>50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68">
        <f>SUM(AH8:AH13)</f>
        <v>175300</v>
      </c>
    </row>
    <row r="16" spans="1:42" x14ac:dyDescent="0.3">
      <c r="AG16" s="65"/>
    </row>
    <row r="20" spans="2:34" ht="14.4" customHeight="1" x14ac:dyDescent="0.3">
      <c r="B20" s="100" t="s">
        <v>14</v>
      </c>
      <c r="C20" s="100"/>
      <c r="D20" s="100"/>
      <c r="E20" s="100"/>
      <c r="F20" s="100"/>
      <c r="G20" s="100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</row>
    <row r="21" spans="2:34" ht="14.4" customHeight="1" x14ac:dyDescent="0.3">
      <c r="B21" s="100"/>
      <c r="C21" s="100"/>
      <c r="D21" s="100"/>
      <c r="E21" s="100"/>
      <c r="F21" s="100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</row>
    <row r="22" spans="2:34" ht="14.4" customHeight="1" x14ac:dyDescent="0.3">
      <c r="B22" s="100"/>
      <c r="C22" s="100"/>
      <c r="D22" s="100"/>
      <c r="E22" s="100"/>
      <c r="F22" s="100"/>
      <c r="G22" s="100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</row>
    <row r="23" spans="2:34" x14ac:dyDescent="0.3">
      <c r="B23" s="100"/>
      <c r="C23" s="100"/>
      <c r="D23" s="100"/>
      <c r="E23" s="100"/>
      <c r="F23" s="100"/>
      <c r="G23" s="100"/>
    </row>
    <row r="24" spans="2:34" ht="18" x14ac:dyDescent="0.3">
      <c r="B24" s="103" t="s">
        <v>58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</row>
    <row r="25" spans="2:34" s="69" customFormat="1" x14ac:dyDescent="0.3">
      <c r="B25" s="95" t="s">
        <v>59</v>
      </c>
      <c r="C25" s="95"/>
      <c r="D25" s="95"/>
      <c r="E25" s="95"/>
      <c r="F25" s="95"/>
      <c r="G25" s="95"/>
      <c r="H25" s="95"/>
      <c r="I25" s="95"/>
      <c r="J25" s="95"/>
      <c r="AH25" s="64"/>
    </row>
    <row r="26" spans="2:34" s="69" customFormat="1" x14ac:dyDescent="0.3">
      <c r="B26" s="95" t="s">
        <v>60</v>
      </c>
      <c r="C26" s="95"/>
      <c r="D26" s="95"/>
      <c r="E26" s="95"/>
      <c r="F26" s="95"/>
      <c r="G26" s="95"/>
      <c r="H26" s="95"/>
      <c r="I26" s="95"/>
      <c r="J26" s="95"/>
      <c r="AH26" s="64"/>
    </row>
    <row r="27" spans="2:34" s="69" customFormat="1" x14ac:dyDescent="0.3">
      <c r="B27" s="95" t="s">
        <v>53</v>
      </c>
      <c r="C27" s="95"/>
      <c r="D27" s="95"/>
      <c r="E27" s="95"/>
      <c r="F27" s="95"/>
      <c r="G27" s="95"/>
      <c r="H27" s="95"/>
      <c r="I27" s="95"/>
      <c r="J27" s="95"/>
      <c r="AH27" s="64"/>
    </row>
    <row r="28" spans="2:34" s="69" customFormat="1" x14ac:dyDescent="0.3">
      <c r="B28" s="69" t="s">
        <v>44</v>
      </c>
      <c r="C28" s="95" t="s">
        <v>61</v>
      </c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AH28" s="64"/>
    </row>
    <row r="29" spans="2:34" s="69" customFormat="1" x14ac:dyDescent="0.3">
      <c r="B29" s="69" t="s">
        <v>54</v>
      </c>
      <c r="C29" s="95" t="s">
        <v>62</v>
      </c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AH29" s="64"/>
    </row>
    <row r="45" spans="7:7" x14ac:dyDescent="0.3">
      <c r="G45" s="47" t="s">
        <v>15</v>
      </c>
    </row>
  </sheetData>
  <mergeCells count="25">
    <mergeCell ref="A5:A7"/>
    <mergeCell ref="A14:AG14"/>
    <mergeCell ref="A4:AH4"/>
    <mergeCell ref="B24:AH24"/>
    <mergeCell ref="B25:J25"/>
    <mergeCell ref="B26:J26"/>
    <mergeCell ref="B27:J27"/>
    <mergeCell ref="C28:R28"/>
    <mergeCell ref="C29:R29"/>
    <mergeCell ref="B20:G23"/>
    <mergeCell ref="H20:N20"/>
    <mergeCell ref="O20:AD20"/>
    <mergeCell ref="H21:N21"/>
    <mergeCell ref="O21:AD21"/>
    <mergeCell ref="H22:N22"/>
    <mergeCell ref="O22:AD22"/>
    <mergeCell ref="B1:AH1"/>
    <mergeCell ref="B2:AH2"/>
    <mergeCell ref="B3:AH3"/>
    <mergeCell ref="B5:B7"/>
    <mergeCell ref="C5:AD5"/>
    <mergeCell ref="AE5:AE7"/>
    <mergeCell ref="AF5:AF7"/>
    <mergeCell ref="AG5:AG7"/>
    <mergeCell ref="AH5:AH7"/>
  </mergeCells>
  <printOptions horizontalCentered="1"/>
  <pageMargins left="0.23622047244094491" right="0.15748031496062992" top="0.59055118110236227" bottom="0.15748031496062992" header="0.15748031496062992" footer="0.15748031496062992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D6EC-11BA-4AF2-9FE3-65273E03768B}">
  <dimension ref="A1:AS45"/>
  <sheetViews>
    <sheetView view="pageBreakPreview" topLeftCell="B1" zoomScaleSheetLayoutView="100" workbookViewId="0">
      <selection activeCell="AI17" sqref="AI17"/>
    </sheetView>
  </sheetViews>
  <sheetFormatPr defaultRowHeight="14.4" x14ac:dyDescent="0.3"/>
  <cols>
    <col min="1" max="1" width="7.109375" style="47" bestFit="1" customWidth="1"/>
    <col min="2" max="2" width="31.6640625" style="66" bestFit="1" customWidth="1"/>
    <col min="3" max="3" width="4.109375" style="47" bestFit="1" customWidth="1"/>
    <col min="4" max="4" width="3.109375" style="47" bestFit="1" customWidth="1"/>
    <col min="5" max="5" width="3.33203125" style="47" bestFit="1" customWidth="1"/>
    <col min="6" max="6" width="3.77734375" style="47" bestFit="1" customWidth="1"/>
    <col min="7" max="7" width="4.77734375" style="47" customWidth="1"/>
    <col min="8" max="8" width="4" style="47" bestFit="1" customWidth="1"/>
    <col min="9" max="9" width="4.33203125" style="47" bestFit="1" customWidth="1"/>
    <col min="10" max="10" width="4.109375" style="47" bestFit="1" customWidth="1"/>
    <col min="11" max="11" width="3.109375" style="47" bestFit="1" customWidth="1"/>
    <col min="12" max="12" width="3.33203125" style="47" customWidth="1"/>
    <col min="13" max="13" width="3.77734375" style="47" bestFit="1" customWidth="1"/>
    <col min="14" max="14" width="4.77734375" style="47" bestFit="1" customWidth="1"/>
    <col min="15" max="15" width="3.88671875" style="47" customWidth="1"/>
    <col min="16" max="16" width="4.33203125" style="47" bestFit="1" customWidth="1"/>
    <col min="17" max="17" width="4.109375" style="47" bestFit="1" customWidth="1"/>
    <col min="18" max="18" width="3.109375" style="47" bestFit="1" customWidth="1"/>
    <col min="19" max="19" width="3.33203125" style="47" bestFit="1" customWidth="1"/>
    <col min="20" max="20" width="3.77734375" style="47" bestFit="1" customWidth="1"/>
    <col min="21" max="21" width="3" style="47" bestFit="1" customWidth="1"/>
    <col min="22" max="22" width="3.109375" style="47" bestFit="1" customWidth="1"/>
    <col min="23" max="23" width="3.33203125" style="47" bestFit="1" customWidth="1"/>
    <col min="24" max="24" width="4.109375" style="47" bestFit="1" customWidth="1"/>
    <col min="25" max="25" width="3.109375" style="47" bestFit="1" customWidth="1"/>
    <col min="26" max="26" width="3.33203125" style="47" bestFit="1" customWidth="1"/>
    <col min="27" max="27" width="3.77734375" style="47" bestFit="1" customWidth="1"/>
    <col min="28" max="28" width="3" style="47" bestFit="1" customWidth="1"/>
    <col min="29" max="29" width="3.109375" style="47" bestFit="1" customWidth="1"/>
    <col min="30" max="30" width="3.33203125" style="47" bestFit="1" customWidth="1"/>
    <col min="31" max="31" width="4.109375" style="47" bestFit="1" customWidth="1"/>
    <col min="32" max="32" width="3.109375" style="47" bestFit="1" customWidth="1"/>
    <col min="33" max="33" width="3.33203125" style="47" bestFit="1" customWidth="1"/>
    <col min="34" max="34" width="9.6640625" style="47" bestFit="1" customWidth="1"/>
    <col min="35" max="35" width="13.77734375" style="47" customWidth="1"/>
    <col min="36" max="36" width="8.88671875" style="47" customWidth="1"/>
    <col min="37" max="37" width="14.33203125" style="62" customWidth="1"/>
    <col min="38" max="16384" width="8.88671875" style="47"/>
  </cols>
  <sheetData>
    <row r="1" spans="1:45" ht="17.399999999999999" x14ac:dyDescent="0.3"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</row>
    <row r="2" spans="1:45" ht="15.6" x14ac:dyDescent="0.3">
      <c r="B2" s="88" t="s">
        <v>1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</row>
    <row r="3" spans="1:45" ht="15.6" x14ac:dyDescent="0.3">
      <c r="B3" s="89" t="s">
        <v>2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</row>
    <row r="4" spans="1:45" ht="15.6" x14ac:dyDescent="0.3">
      <c r="B4" s="90" t="s">
        <v>64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</row>
    <row r="5" spans="1:45" ht="34.799999999999997" customHeight="1" x14ac:dyDescent="0.3">
      <c r="A5" s="32" t="s">
        <v>30</v>
      </c>
      <c r="B5" s="92" t="s">
        <v>3</v>
      </c>
      <c r="C5" s="92" t="s">
        <v>4</v>
      </c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4" t="s">
        <v>46</v>
      </c>
      <c r="AI5" s="94" t="s">
        <v>47</v>
      </c>
      <c r="AJ5" s="91" t="s">
        <v>48</v>
      </c>
      <c r="AK5" s="96" t="s">
        <v>49</v>
      </c>
    </row>
    <row r="6" spans="1:45" ht="26.4" customHeight="1" x14ac:dyDescent="0.3">
      <c r="A6" s="32"/>
      <c r="B6" s="92"/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1">
        <v>22</v>
      </c>
      <c r="Y6" s="1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">
        <v>29</v>
      </c>
      <c r="AF6" s="1">
        <v>30</v>
      </c>
      <c r="AG6" s="1">
        <v>31</v>
      </c>
      <c r="AH6" s="94"/>
      <c r="AI6" s="94"/>
      <c r="AJ6" s="91"/>
      <c r="AK6" s="96"/>
    </row>
    <row r="7" spans="1:45" ht="26.4" x14ac:dyDescent="0.3">
      <c r="A7" s="32"/>
      <c r="B7" s="92"/>
      <c r="C7" s="1" t="s">
        <v>35</v>
      </c>
      <c r="D7" s="1" t="s">
        <v>38</v>
      </c>
      <c r="E7" s="1" t="s">
        <v>39</v>
      </c>
      <c r="F7" s="1" t="s">
        <v>40</v>
      </c>
      <c r="G7" s="1" t="s">
        <v>33</v>
      </c>
      <c r="H7" s="1" t="s">
        <v>34</v>
      </c>
      <c r="I7" s="1" t="s">
        <v>36</v>
      </c>
      <c r="J7" s="1" t="s">
        <v>35</v>
      </c>
      <c r="K7" s="1" t="s">
        <v>38</v>
      </c>
      <c r="L7" s="1" t="s">
        <v>39</v>
      </c>
      <c r="M7" s="1" t="s">
        <v>40</v>
      </c>
      <c r="N7" s="1" t="s">
        <v>33</v>
      </c>
      <c r="O7" s="1" t="s">
        <v>34</v>
      </c>
      <c r="P7" s="1" t="s">
        <v>36</v>
      </c>
      <c r="Q7" s="1" t="s">
        <v>35</v>
      </c>
      <c r="R7" s="1" t="s">
        <v>38</v>
      </c>
      <c r="S7" s="1" t="s">
        <v>39</v>
      </c>
      <c r="T7" s="1" t="s">
        <v>40</v>
      </c>
      <c r="U7" s="1" t="s">
        <v>33</v>
      </c>
      <c r="V7" s="1" t="s">
        <v>34</v>
      </c>
      <c r="W7" s="1" t="s">
        <v>36</v>
      </c>
      <c r="X7" s="1" t="s">
        <v>35</v>
      </c>
      <c r="Y7" s="1" t="s">
        <v>38</v>
      </c>
      <c r="Z7" s="1" t="s">
        <v>39</v>
      </c>
      <c r="AA7" s="1" t="s">
        <v>40</v>
      </c>
      <c r="AB7" s="1" t="s">
        <v>33</v>
      </c>
      <c r="AC7" s="1" t="s">
        <v>34</v>
      </c>
      <c r="AD7" s="1" t="s">
        <v>36</v>
      </c>
      <c r="AE7" s="1" t="s">
        <v>35</v>
      </c>
      <c r="AF7" s="1" t="s">
        <v>38</v>
      </c>
      <c r="AG7" s="1" t="s">
        <v>39</v>
      </c>
      <c r="AH7" s="94"/>
      <c r="AI7" s="94"/>
      <c r="AJ7" s="91"/>
      <c r="AK7" s="96"/>
    </row>
    <row r="8" spans="1:45" s="54" customFormat="1" ht="17.399999999999999" x14ac:dyDescent="0.3">
      <c r="A8" s="30" t="s">
        <v>24</v>
      </c>
      <c r="B8" s="48" t="s">
        <v>17</v>
      </c>
      <c r="C8" s="49"/>
      <c r="D8" s="49"/>
      <c r="E8" s="49"/>
      <c r="F8" s="49"/>
      <c r="G8" s="50">
        <v>1</v>
      </c>
      <c r="H8" s="57">
        <v>1</v>
      </c>
      <c r="I8" s="57">
        <v>1</v>
      </c>
      <c r="J8" s="67">
        <v>1</v>
      </c>
      <c r="K8" s="67">
        <v>1</v>
      </c>
      <c r="L8" s="67"/>
      <c r="M8" s="49"/>
      <c r="N8" s="50">
        <v>1</v>
      </c>
      <c r="O8" s="50">
        <v>1</v>
      </c>
      <c r="P8" s="50"/>
      <c r="Q8" s="49"/>
      <c r="R8" s="49"/>
      <c r="S8" s="49">
        <v>1</v>
      </c>
      <c r="T8" s="49"/>
      <c r="U8" s="50">
        <v>1</v>
      </c>
      <c r="V8" s="50">
        <v>1</v>
      </c>
      <c r="W8" s="50">
        <v>1</v>
      </c>
      <c r="X8" s="49"/>
      <c r="Y8" s="49"/>
      <c r="Z8" s="49"/>
      <c r="AA8" s="49"/>
      <c r="AB8" s="50"/>
      <c r="AC8" s="50">
        <v>1</v>
      </c>
      <c r="AD8" s="50">
        <v>1</v>
      </c>
      <c r="AE8" s="49">
        <v>1</v>
      </c>
      <c r="AF8" s="49"/>
      <c r="AG8" s="49"/>
      <c r="AH8" s="9">
        <f t="shared" ref="AH8:AH12" si="0">COUNT(C8:AG8)</f>
        <v>14</v>
      </c>
      <c r="AI8" s="9">
        <v>12</v>
      </c>
      <c r="AJ8" s="51">
        <v>75000</v>
      </c>
      <c r="AK8" s="52">
        <f>AJ8/AI8*AH8</f>
        <v>87500</v>
      </c>
      <c r="AM8" s="55"/>
    </row>
    <row r="9" spans="1:45" s="54" customFormat="1" ht="17.399999999999999" x14ac:dyDescent="0.3">
      <c r="A9" s="30" t="s">
        <v>25</v>
      </c>
      <c r="B9" s="48" t="s">
        <v>18</v>
      </c>
      <c r="C9" s="50">
        <v>1</v>
      </c>
      <c r="D9" s="49"/>
      <c r="E9" s="49"/>
      <c r="F9" s="49"/>
      <c r="G9" s="49"/>
      <c r="H9" s="50">
        <v>1</v>
      </c>
      <c r="I9" s="49"/>
      <c r="J9" s="50">
        <v>1</v>
      </c>
      <c r="K9" s="49"/>
      <c r="L9" s="49"/>
      <c r="M9" s="49"/>
      <c r="N9" s="49"/>
      <c r="O9" s="50">
        <v>1</v>
      </c>
      <c r="P9" s="49"/>
      <c r="Q9" s="50"/>
      <c r="R9" s="49"/>
      <c r="S9" s="49"/>
      <c r="T9" s="49"/>
      <c r="U9" s="49"/>
      <c r="V9" s="50">
        <v>1</v>
      </c>
      <c r="W9" s="49"/>
      <c r="X9" s="50">
        <v>1</v>
      </c>
      <c r="Y9" s="49"/>
      <c r="Z9" s="49"/>
      <c r="AA9" s="49"/>
      <c r="AB9" s="49"/>
      <c r="AC9" s="50">
        <v>1</v>
      </c>
      <c r="AD9" s="49"/>
      <c r="AE9" s="50">
        <v>1</v>
      </c>
      <c r="AF9" s="49"/>
      <c r="AG9" s="49"/>
      <c r="AH9" s="9">
        <f t="shared" si="0"/>
        <v>8</v>
      </c>
      <c r="AI9" s="9">
        <v>9</v>
      </c>
      <c r="AJ9" s="51">
        <v>26400</v>
      </c>
      <c r="AK9" s="52">
        <f t="shared" ref="AK9:AK13" si="1">AJ9/AI9*AH9</f>
        <v>23466.666666666668</v>
      </c>
    </row>
    <row r="10" spans="1:45" s="54" customFormat="1" ht="17.399999999999999" x14ac:dyDescent="0.3">
      <c r="A10" s="30" t="s">
        <v>26</v>
      </c>
      <c r="B10" s="48" t="s">
        <v>19</v>
      </c>
      <c r="C10" s="49"/>
      <c r="D10" s="49"/>
      <c r="E10" s="50">
        <v>1</v>
      </c>
      <c r="F10" s="49"/>
      <c r="G10" s="49"/>
      <c r="H10" s="49"/>
      <c r="I10" s="49"/>
      <c r="J10" s="49"/>
      <c r="K10" s="49"/>
      <c r="L10" s="50">
        <v>1</v>
      </c>
      <c r="M10" s="49"/>
      <c r="N10" s="49"/>
      <c r="O10" s="49"/>
      <c r="P10" s="49"/>
      <c r="Q10" s="49"/>
      <c r="R10" s="49"/>
      <c r="S10" s="50">
        <v>1</v>
      </c>
      <c r="T10" s="49"/>
      <c r="U10" s="49"/>
      <c r="V10" s="49"/>
      <c r="W10" s="49"/>
      <c r="X10" s="49"/>
      <c r="Y10" s="49"/>
      <c r="Z10" s="50">
        <v>1</v>
      </c>
      <c r="AA10" s="49"/>
      <c r="AB10" s="49"/>
      <c r="AC10" s="49"/>
      <c r="AD10" s="49"/>
      <c r="AE10" s="49"/>
      <c r="AF10" s="49"/>
      <c r="AG10" s="50">
        <v>1</v>
      </c>
      <c r="AH10" s="9">
        <f t="shared" si="0"/>
        <v>5</v>
      </c>
      <c r="AI10" s="9">
        <v>5</v>
      </c>
      <c r="AJ10" s="51">
        <v>2000</v>
      </c>
      <c r="AK10" s="52">
        <f>AJ10*AH10</f>
        <v>10000</v>
      </c>
    </row>
    <row r="11" spans="1:45" s="54" customFormat="1" ht="17.399999999999999" x14ac:dyDescent="0.3">
      <c r="A11" s="30" t="s">
        <v>27</v>
      </c>
      <c r="B11" s="48" t="s">
        <v>20</v>
      </c>
      <c r="C11" s="49"/>
      <c r="D11" s="49"/>
      <c r="E11" s="49"/>
      <c r="F11" s="49"/>
      <c r="G11" s="67"/>
      <c r="H11" s="57">
        <v>1</v>
      </c>
      <c r="I11" s="57">
        <v>1</v>
      </c>
      <c r="J11" s="67">
        <v>1</v>
      </c>
      <c r="K11" s="67">
        <v>1</v>
      </c>
      <c r="L11" s="67"/>
      <c r="M11" s="49"/>
      <c r="N11" s="49"/>
      <c r="O11" s="50"/>
      <c r="P11" s="50"/>
      <c r="Q11" s="49"/>
      <c r="R11" s="49"/>
      <c r="S11" s="49"/>
      <c r="T11" s="49"/>
      <c r="U11" s="49"/>
      <c r="V11" s="50">
        <v>1</v>
      </c>
      <c r="W11" s="50">
        <v>1</v>
      </c>
      <c r="X11" s="49"/>
      <c r="Y11" s="49"/>
      <c r="Z11" s="49"/>
      <c r="AA11" s="49"/>
      <c r="AB11" s="49"/>
      <c r="AC11" s="50">
        <v>1</v>
      </c>
      <c r="AD11" s="50">
        <v>1</v>
      </c>
      <c r="AE11" s="49"/>
      <c r="AF11" s="49"/>
      <c r="AG11" s="49"/>
      <c r="AH11" s="9">
        <f t="shared" si="0"/>
        <v>8</v>
      </c>
      <c r="AI11" s="9">
        <v>8</v>
      </c>
      <c r="AJ11" s="51">
        <v>20000</v>
      </c>
      <c r="AK11" s="52">
        <f t="shared" si="1"/>
        <v>20000</v>
      </c>
      <c r="AM11" s="58"/>
      <c r="AN11" s="58"/>
      <c r="AO11" s="58"/>
      <c r="AP11" s="58"/>
      <c r="AQ11" s="58"/>
      <c r="AR11" s="58"/>
      <c r="AS11" s="58"/>
    </row>
    <row r="12" spans="1:45" ht="17.399999999999999" x14ac:dyDescent="0.3">
      <c r="A12" s="30" t="s">
        <v>28</v>
      </c>
      <c r="B12" s="48" t="s">
        <v>21</v>
      </c>
      <c r="C12" s="49"/>
      <c r="D12" s="50">
        <v>1</v>
      </c>
      <c r="E12" s="49"/>
      <c r="F12" s="49"/>
      <c r="G12" s="50">
        <v>1</v>
      </c>
      <c r="H12" s="50">
        <v>1</v>
      </c>
      <c r="I12" s="49"/>
      <c r="J12" s="49"/>
      <c r="K12" s="50">
        <v>1</v>
      </c>
      <c r="L12" s="49"/>
      <c r="M12" s="49"/>
      <c r="N12" s="50">
        <v>1</v>
      </c>
      <c r="O12" s="50">
        <v>1</v>
      </c>
      <c r="P12" s="49"/>
      <c r="Q12" s="49"/>
      <c r="R12" s="50">
        <v>1</v>
      </c>
      <c r="S12" s="49"/>
      <c r="T12" s="49"/>
      <c r="U12" s="50">
        <v>1</v>
      </c>
      <c r="V12" s="50">
        <v>1</v>
      </c>
      <c r="W12" s="49"/>
      <c r="X12" s="49"/>
      <c r="Y12" s="50">
        <v>1</v>
      </c>
      <c r="Z12" s="49"/>
      <c r="AA12" s="49"/>
      <c r="AB12" s="50"/>
      <c r="AC12" s="57">
        <v>1</v>
      </c>
      <c r="AD12" s="67">
        <v>1</v>
      </c>
      <c r="AE12" s="67">
        <v>1</v>
      </c>
      <c r="AF12" s="57">
        <v>1</v>
      </c>
      <c r="AG12" s="67">
        <v>1</v>
      </c>
      <c r="AH12" s="9">
        <f t="shared" si="0"/>
        <v>15</v>
      </c>
      <c r="AI12" s="9">
        <v>13</v>
      </c>
      <c r="AJ12" s="59">
        <v>42000</v>
      </c>
      <c r="AK12" s="52">
        <f t="shared" si="1"/>
        <v>48461.538461538461</v>
      </c>
      <c r="AM12" s="18"/>
      <c r="AN12" s="60"/>
      <c r="AO12" s="60"/>
      <c r="AP12" s="60"/>
      <c r="AQ12" s="60"/>
      <c r="AR12" s="60"/>
      <c r="AS12" s="60"/>
    </row>
    <row r="13" spans="1:45" ht="17.399999999999999" x14ac:dyDescent="0.3">
      <c r="A13" s="30" t="s">
        <v>29</v>
      </c>
      <c r="B13" s="48" t="s">
        <v>22</v>
      </c>
      <c r="C13" s="50">
        <v>1</v>
      </c>
      <c r="D13" s="49"/>
      <c r="E13" s="49"/>
      <c r="F13" s="49"/>
      <c r="G13" s="50">
        <v>1</v>
      </c>
      <c r="H13" s="49"/>
      <c r="I13" s="49"/>
      <c r="J13" s="50">
        <v>0.5</v>
      </c>
      <c r="K13" s="49"/>
      <c r="L13" s="49"/>
      <c r="M13" s="49"/>
      <c r="N13" s="50">
        <v>1</v>
      </c>
      <c r="O13" s="49"/>
      <c r="P13" s="49"/>
      <c r="Q13" s="50"/>
      <c r="R13" s="49"/>
      <c r="S13" s="49"/>
      <c r="T13" s="49"/>
      <c r="U13" s="50">
        <v>1</v>
      </c>
      <c r="V13" s="49"/>
      <c r="W13" s="49"/>
      <c r="X13" s="50">
        <v>1</v>
      </c>
      <c r="Y13" s="49"/>
      <c r="Z13" s="49"/>
      <c r="AA13" s="49"/>
      <c r="AB13" s="50"/>
      <c r="AC13" s="49"/>
      <c r="AD13" s="49"/>
      <c r="AE13" s="50">
        <v>0.5</v>
      </c>
      <c r="AF13" s="49"/>
      <c r="AG13" s="49"/>
      <c r="AH13" s="9">
        <v>6</v>
      </c>
      <c r="AI13" s="9">
        <v>9</v>
      </c>
      <c r="AJ13" s="51">
        <v>26400</v>
      </c>
      <c r="AK13" s="52">
        <f t="shared" si="1"/>
        <v>17600</v>
      </c>
      <c r="AM13" s="18"/>
      <c r="AN13" s="60"/>
      <c r="AO13" s="60"/>
      <c r="AP13" s="60"/>
      <c r="AQ13" s="60"/>
      <c r="AR13" s="60"/>
      <c r="AS13" s="60"/>
    </row>
    <row r="14" spans="1:45" ht="17.399999999999999" x14ac:dyDescent="0.3">
      <c r="B14" s="104" t="s">
        <v>50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68">
        <f>SUM(AK8:AK13)</f>
        <v>207028.20512820515</v>
      </c>
    </row>
    <row r="16" spans="1:45" x14ac:dyDescent="0.3">
      <c r="AJ16" s="65"/>
    </row>
    <row r="20" spans="2:37" ht="14.4" customHeight="1" x14ac:dyDescent="0.3">
      <c r="B20" s="100" t="s">
        <v>14</v>
      </c>
      <c r="C20" s="100"/>
      <c r="D20" s="100"/>
      <c r="E20" s="100"/>
      <c r="F20" s="100"/>
      <c r="G20" s="100"/>
      <c r="H20" s="101" t="s">
        <v>65</v>
      </c>
      <c r="I20" s="101"/>
      <c r="J20" s="101"/>
      <c r="K20" s="101"/>
      <c r="L20" s="101"/>
      <c r="M20" s="101"/>
      <c r="N20" s="101"/>
      <c r="O20" s="101" t="s">
        <v>68</v>
      </c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47" t="s">
        <v>69</v>
      </c>
    </row>
    <row r="21" spans="2:37" ht="14.4" customHeight="1" x14ac:dyDescent="0.3">
      <c r="B21" s="100"/>
      <c r="C21" s="100"/>
      <c r="D21" s="100"/>
      <c r="E21" s="100"/>
      <c r="F21" s="100"/>
      <c r="G21" s="100"/>
      <c r="H21" s="101" t="s">
        <v>66</v>
      </c>
      <c r="I21" s="101"/>
      <c r="J21" s="101"/>
      <c r="K21" s="101"/>
      <c r="L21" s="101"/>
      <c r="M21" s="101"/>
      <c r="N21" s="101"/>
      <c r="O21" s="101" t="s">
        <v>68</v>
      </c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47" t="s">
        <v>69</v>
      </c>
    </row>
    <row r="22" spans="2:37" ht="14.4" customHeight="1" x14ac:dyDescent="0.3">
      <c r="B22" s="100"/>
      <c r="C22" s="100"/>
      <c r="D22" s="100"/>
      <c r="E22" s="100"/>
      <c r="F22" s="100"/>
      <c r="G22" s="100"/>
      <c r="H22" s="101" t="s">
        <v>67</v>
      </c>
      <c r="I22" s="101"/>
      <c r="J22" s="101"/>
      <c r="K22" s="101"/>
      <c r="L22" s="101"/>
      <c r="M22" s="101"/>
      <c r="N22" s="101"/>
      <c r="O22" s="101" t="s">
        <v>70</v>
      </c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47" t="s">
        <v>71</v>
      </c>
    </row>
    <row r="23" spans="2:37" x14ac:dyDescent="0.3">
      <c r="B23" s="100"/>
      <c r="C23" s="100"/>
      <c r="D23" s="100"/>
      <c r="E23" s="100"/>
      <c r="F23" s="100"/>
      <c r="G23" s="100"/>
    </row>
    <row r="24" spans="2:37" ht="18" x14ac:dyDescent="0.3">
      <c r="B24" s="103" t="s">
        <v>58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</row>
    <row r="25" spans="2:37" s="66" customFormat="1" x14ac:dyDescent="0.3">
      <c r="B25" s="95" t="s">
        <v>59</v>
      </c>
      <c r="C25" s="95"/>
      <c r="D25" s="95"/>
      <c r="E25" s="95"/>
      <c r="F25" s="95"/>
      <c r="G25" s="95"/>
      <c r="H25" s="95"/>
      <c r="I25" s="95"/>
      <c r="J25" s="95"/>
      <c r="AK25" s="64"/>
    </row>
    <row r="26" spans="2:37" s="66" customFormat="1" x14ac:dyDescent="0.3">
      <c r="B26" s="95" t="s">
        <v>60</v>
      </c>
      <c r="C26" s="95"/>
      <c r="D26" s="95"/>
      <c r="E26" s="95"/>
      <c r="F26" s="95"/>
      <c r="G26" s="95"/>
      <c r="H26" s="95"/>
      <c r="I26" s="95"/>
      <c r="J26" s="95"/>
      <c r="AK26" s="64"/>
    </row>
    <row r="27" spans="2:37" s="66" customFormat="1" x14ac:dyDescent="0.3">
      <c r="B27" s="95" t="s">
        <v>53</v>
      </c>
      <c r="C27" s="95"/>
      <c r="D27" s="95"/>
      <c r="E27" s="95"/>
      <c r="F27" s="95"/>
      <c r="G27" s="95"/>
      <c r="H27" s="95"/>
      <c r="I27" s="95"/>
      <c r="J27" s="95"/>
      <c r="AK27" s="64"/>
    </row>
    <row r="28" spans="2:37" s="66" customFormat="1" x14ac:dyDescent="0.3">
      <c r="B28" s="66" t="s">
        <v>44</v>
      </c>
      <c r="C28" s="95" t="s">
        <v>61</v>
      </c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AK28" s="64"/>
    </row>
    <row r="29" spans="2:37" s="66" customFormat="1" x14ac:dyDescent="0.3">
      <c r="B29" s="66" t="s">
        <v>54</v>
      </c>
      <c r="C29" s="95" t="s">
        <v>62</v>
      </c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AK29" s="64"/>
    </row>
    <row r="45" spans="7:7" x14ac:dyDescent="0.3">
      <c r="G45" s="47" t="s">
        <v>15</v>
      </c>
    </row>
  </sheetData>
  <mergeCells count="24">
    <mergeCell ref="B27:J27"/>
    <mergeCell ref="C28:R28"/>
    <mergeCell ref="C29:R29"/>
    <mergeCell ref="B1:AK1"/>
    <mergeCell ref="B2:AK2"/>
    <mergeCell ref="B3:AK3"/>
    <mergeCell ref="B4:AK4"/>
    <mergeCell ref="C5:AG5"/>
    <mergeCell ref="B5:B7"/>
    <mergeCell ref="AH5:AH7"/>
    <mergeCell ref="AI5:AI7"/>
    <mergeCell ref="AJ5:AJ7"/>
    <mergeCell ref="AK5:AK7"/>
    <mergeCell ref="B14:AJ14"/>
    <mergeCell ref="B20:G23"/>
    <mergeCell ref="B24:AK24"/>
    <mergeCell ref="O20:AG20"/>
    <mergeCell ref="O21:AG21"/>
    <mergeCell ref="O22:AG22"/>
    <mergeCell ref="B25:J25"/>
    <mergeCell ref="B26:J26"/>
    <mergeCell ref="H20:N20"/>
    <mergeCell ref="H21:N21"/>
    <mergeCell ref="H22:N22"/>
  </mergeCells>
  <printOptions horizontalCentered="1"/>
  <pageMargins left="0.23622047244094491" right="0.15748031496062992" top="0.59055118110236227" bottom="0.15748031496062992" header="0.15748031496062992" footer="0.15748031496062992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8B7B-608B-49FC-A7E8-2A719ECDE76E}">
  <dimension ref="A1:AT44"/>
  <sheetViews>
    <sheetView view="pageBreakPreview" topLeftCell="B4" zoomScaleSheetLayoutView="100" workbookViewId="0">
      <selection activeCell="AF9" sqref="AF9"/>
    </sheetView>
  </sheetViews>
  <sheetFormatPr defaultRowHeight="14.4" x14ac:dyDescent="0.3"/>
  <cols>
    <col min="1" max="1" width="7.109375" style="47" bestFit="1" customWidth="1"/>
    <col min="2" max="2" width="18.5546875" style="61" customWidth="1"/>
    <col min="3" max="3" width="4.77734375" style="47" bestFit="1" customWidth="1"/>
    <col min="4" max="4" width="4" style="47" bestFit="1" customWidth="1"/>
    <col min="5" max="5" width="4.33203125" style="47" bestFit="1" customWidth="1"/>
    <col min="6" max="6" width="4.109375" style="47" bestFit="1" customWidth="1"/>
    <col min="7" max="7" width="3.109375" style="47" bestFit="1" customWidth="1"/>
    <col min="8" max="8" width="3.33203125" style="47" bestFit="1" customWidth="1"/>
    <col min="9" max="9" width="3.77734375" style="47" bestFit="1" customWidth="1"/>
    <col min="10" max="10" width="4.77734375" style="47" bestFit="1" customWidth="1"/>
    <col min="11" max="11" width="4.109375" style="47" bestFit="1" customWidth="1"/>
    <col min="12" max="12" width="4.33203125" style="47" bestFit="1" customWidth="1"/>
    <col min="13" max="13" width="4.5546875" style="47" customWidth="1"/>
    <col min="14" max="14" width="3.109375" style="47" bestFit="1" customWidth="1"/>
    <col min="15" max="15" width="3.33203125" style="47" bestFit="1" customWidth="1"/>
    <col min="16" max="16" width="3.77734375" style="47" bestFit="1" customWidth="1"/>
    <col min="17" max="17" width="4.77734375" style="47" bestFit="1" customWidth="1"/>
    <col min="18" max="18" width="4.109375" style="47" bestFit="1" customWidth="1"/>
    <col min="19" max="19" width="4.33203125" style="47" bestFit="1" customWidth="1"/>
    <col min="20" max="20" width="4.77734375" style="47" customWidth="1"/>
    <col min="21" max="21" width="3.109375" style="47" bestFit="1" customWidth="1"/>
    <col min="22" max="22" width="3.33203125" style="47" bestFit="1" customWidth="1"/>
    <col min="23" max="23" width="3.77734375" style="47" bestFit="1" customWidth="1"/>
    <col min="24" max="24" width="4.77734375" style="47" bestFit="1" customWidth="1"/>
    <col min="25" max="25" width="4.109375" style="47" bestFit="1" customWidth="1"/>
    <col min="26" max="26" width="4.33203125" style="47" bestFit="1" customWidth="1"/>
    <col min="27" max="27" width="5" style="47" customWidth="1"/>
    <col min="28" max="28" width="3.109375" style="47" bestFit="1" customWidth="1"/>
    <col min="29" max="29" width="3.33203125" style="47" bestFit="1" customWidth="1"/>
    <col min="30" max="30" width="3.77734375" style="47" bestFit="1" customWidth="1"/>
    <col min="31" max="31" width="4.77734375" style="47" bestFit="1" customWidth="1"/>
    <col min="32" max="32" width="4.109375" style="47" bestFit="1" customWidth="1"/>
    <col min="33" max="33" width="4.33203125" style="47" bestFit="1" customWidth="1"/>
    <col min="34" max="34" width="8.5546875" style="47" customWidth="1"/>
    <col min="35" max="35" width="11" style="47" customWidth="1"/>
    <col min="36" max="36" width="8.33203125" style="47" bestFit="1" customWidth="1"/>
    <col min="37" max="37" width="10.44140625" style="62" customWidth="1"/>
    <col min="38" max="38" width="8.109375" style="47" customWidth="1"/>
    <col min="39" max="16384" width="8.88671875" style="47"/>
  </cols>
  <sheetData>
    <row r="1" spans="1:46" ht="17.399999999999999" x14ac:dyDescent="0.3"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</row>
    <row r="2" spans="1:46" ht="15.6" x14ac:dyDescent="0.3">
      <c r="B2" s="88" t="s">
        <v>1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</row>
    <row r="3" spans="1:46" ht="15.6" x14ac:dyDescent="0.3">
      <c r="B3" s="89" t="s">
        <v>2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</row>
    <row r="4" spans="1:46" ht="15.6" x14ac:dyDescent="0.3">
      <c r="B4" s="107" t="s">
        <v>57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</row>
    <row r="5" spans="1:46" ht="44.4" customHeight="1" x14ac:dyDescent="0.3">
      <c r="A5" s="32" t="s">
        <v>30</v>
      </c>
      <c r="B5" s="1" t="s">
        <v>3</v>
      </c>
      <c r="C5" s="105" t="s">
        <v>4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110" t="s">
        <v>46</v>
      </c>
      <c r="AI5" s="110" t="s">
        <v>47</v>
      </c>
      <c r="AJ5" s="112" t="s">
        <v>48</v>
      </c>
      <c r="AK5" s="114" t="s">
        <v>49</v>
      </c>
      <c r="AL5" s="114" t="s">
        <v>63</v>
      </c>
    </row>
    <row r="6" spans="1:46" ht="37.200000000000003" customHeight="1" x14ac:dyDescent="0.3">
      <c r="A6" s="32"/>
      <c r="B6" s="1"/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1">
        <v>22</v>
      </c>
      <c r="Y6" s="1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">
        <v>29</v>
      </c>
      <c r="AF6" s="1">
        <v>30</v>
      </c>
      <c r="AG6" s="1">
        <v>31</v>
      </c>
      <c r="AH6" s="111"/>
      <c r="AI6" s="111"/>
      <c r="AJ6" s="113"/>
      <c r="AK6" s="115"/>
      <c r="AL6" s="115"/>
    </row>
    <row r="7" spans="1:46" ht="17.399999999999999" x14ac:dyDescent="0.3">
      <c r="A7" s="32"/>
      <c r="B7" s="1"/>
      <c r="C7" s="1" t="s">
        <v>33</v>
      </c>
      <c r="D7" s="1" t="s">
        <v>34</v>
      </c>
      <c r="E7" s="1" t="s">
        <v>36</v>
      </c>
      <c r="F7" s="1" t="s">
        <v>35</v>
      </c>
      <c r="G7" s="1" t="s">
        <v>38</v>
      </c>
      <c r="H7" s="1" t="s">
        <v>39</v>
      </c>
      <c r="I7" s="1" t="s">
        <v>40</v>
      </c>
      <c r="J7" s="1" t="s">
        <v>33</v>
      </c>
      <c r="K7" s="1" t="s">
        <v>34</v>
      </c>
      <c r="L7" s="1" t="s">
        <v>36</v>
      </c>
      <c r="M7" s="1" t="s">
        <v>35</v>
      </c>
      <c r="N7" s="1" t="s">
        <v>38</v>
      </c>
      <c r="O7" s="1" t="s">
        <v>39</v>
      </c>
      <c r="P7" s="1" t="s">
        <v>40</v>
      </c>
      <c r="Q7" s="1" t="s">
        <v>33</v>
      </c>
      <c r="R7" s="1" t="s">
        <v>34</v>
      </c>
      <c r="S7" s="1" t="s">
        <v>36</v>
      </c>
      <c r="T7" s="1" t="s">
        <v>35</v>
      </c>
      <c r="U7" s="1" t="s">
        <v>38</v>
      </c>
      <c r="V7" s="1" t="s">
        <v>39</v>
      </c>
      <c r="W7" s="1" t="s">
        <v>40</v>
      </c>
      <c r="X7" s="1" t="s">
        <v>33</v>
      </c>
      <c r="Y7" s="1" t="s">
        <v>34</v>
      </c>
      <c r="Z7" s="1" t="s">
        <v>36</v>
      </c>
      <c r="AA7" s="1" t="s">
        <v>35</v>
      </c>
      <c r="AB7" s="1" t="s">
        <v>38</v>
      </c>
      <c r="AC7" s="1" t="s">
        <v>39</v>
      </c>
      <c r="AD7" s="1" t="s">
        <v>40</v>
      </c>
      <c r="AE7" s="1" t="s">
        <v>33</v>
      </c>
      <c r="AF7" s="1" t="s">
        <v>34</v>
      </c>
      <c r="AG7" s="1" t="s">
        <v>36</v>
      </c>
      <c r="AH7" s="2"/>
      <c r="AI7" s="2"/>
      <c r="AJ7" s="2"/>
      <c r="AK7" s="2"/>
      <c r="AL7" s="2"/>
    </row>
    <row r="8" spans="1:46" s="54" customFormat="1" ht="34.799999999999997" x14ac:dyDescent="0.3">
      <c r="A8" s="30" t="s">
        <v>24</v>
      </c>
      <c r="B8" s="48" t="s">
        <v>17</v>
      </c>
      <c r="C8" s="49"/>
      <c r="D8" s="50">
        <v>1</v>
      </c>
      <c r="E8" s="50">
        <v>1</v>
      </c>
      <c r="F8" s="50">
        <v>1</v>
      </c>
      <c r="G8" s="49"/>
      <c r="H8" s="49"/>
      <c r="I8" s="49"/>
      <c r="J8" s="49"/>
      <c r="K8" s="50">
        <v>1</v>
      </c>
      <c r="L8" s="50">
        <v>1</v>
      </c>
      <c r="M8" s="50">
        <v>1</v>
      </c>
      <c r="N8" s="49"/>
      <c r="O8" s="49"/>
      <c r="P8" s="49"/>
      <c r="Q8" s="49"/>
      <c r="R8" s="50">
        <v>1</v>
      </c>
      <c r="S8" s="50">
        <v>1</v>
      </c>
      <c r="T8" s="50">
        <v>1</v>
      </c>
      <c r="U8" s="49"/>
      <c r="V8" s="49"/>
      <c r="W8" s="49"/>
      <c r="X8" s="50">
        <v>1</v>
      </c>
      <c r="Y8" s="50">
        <v>1</v>
      </c>
      <c r="Z8" s="50">
        <v>1</v>
      </c>
      <c r="AA8" s="49"/>
      <c r="AB8" s="49"/>
      <c r="AC8" s="49"/>
      <c r="AD8" s="49"/>
      <c r="AE8" s="50">
        <v>1</v>
      </c>
      <c r="AF8" s="50">
        <v>1</v>
      </c>
      <c r="AG8" s="50">
        <v>1</v>
      </c>
      <c r="AH8" s="9">
        <f t="shared" ref="AH8:AH13" si="0">COUNT(C8:AG8)</f>
        <v>15</v>
      </c>
      <c r="AI8" s="9">
        <v>15</v>
      </c>
      <c r="AJ8" s="51">
        <v>75000</v>
      </c>
      <c r="AK8" s="52">
        <f>AJ8/AI8*AH8</f>
        <v>75000</v>
      </c>
      <c r="AL8" s="53"/>
      <c r="AN8" s="55"/>
    </row>
    <row r="9" spans="1:46" s="54" customFormat="1" ht="34.799999999999997" x14ac:dyDescent="0.3">
      <c r="A9" s="30" t="s">
        <v>25</v>
      </c>
      <c r="B9" s="48" t="s">
        <v>18</v>
      </c>
      <c r="C9" s="49">
        <v>1</v>
      </c>
      <c r="D9" s="50">
        <v>1</v>
      </c>
      <c r="E9" s="49"/>
      <c r="F9" s="50"/>
      <c r="G9" s="49"/>
      <c r="H9" s="49"/>
      <c r="I9" s="49"/>
      <c r="J9" s="49"/>
      <c r="K9" s="50">
        <v>1</v>
      </c>
      <c r="L9" s="49"/>
      <c r="M9" s="50">
        <v>1</v>
      </c>
      <c r="N9" s="49"/>
      <c r="O9" s="49">
        <v>1</v>
      </c>
      <c r="P9" s="49"/>
      <c r="Q9" s="49"/>
      <c r="R9" s="50">
        <v>1</v>
      </c>
      <c r="S9" s="49"/>
      <c r="T9" s="50">
        <v>1</v>
      </c>
      <c r="U9" s="49"/>
      <c r="V9" s="49"/>
      <c r="W9" s="49"/>
      <c r="X9" s="49"/>
      <c r="Y9" s="50">
        <v>1</v>
      </c>
      <c r="Z9" s="49"/>
      <c r="AA9" s="50"/>
      <c r="AB9" s="49"/>
      <c r="AC9" s="49"/>
      <c r="AD9" s="49"/>
      <c r="AE9" s="49"/>
      <c r="AF9" s="50"/>
      <c r="AG9" s="49"/>
      <c r="AH9" s="9">
        <f t="shared" si="0"/>
        <v>8</v>
      </c>
      <c r="AI9" s="9">
        <v>9</v>
      </c>
      <c r="AJ9" s="51">
        <v>26400</v>
      </c>
      <c r="AK9" s="52">
        <f t="shared" ref="AK9:AK13" si="1">AJ9/AI9*AH9</f>
        <v>23466.666666666668</v>
      </c>
      <c r="AL9" s="53"/>
    </row>
    <row r="10" spans="1:46" s="54" customFormat="1" ht="34.799999999999997" x14ac:dyDescent="0.3">
      <c r="A10" s="30" t="s">
        <v>26</v>
      </c>
      <c r="B10" s="48" t="s">
        <v>19</v>
      </c>
      <c r="C10" s="56"/>
      <c r="D10" s="50"/>
      <c r="E10" s="50"/>
      <c r="F10" s="50"/>
      <c r="G10" s="50">
        <v>1</v>
      </c>
      <c r="H10" s="50"/>
      <c r="I10" s="50"/>
      <c r="J10" s="50"/>
      <c r="K10" s="50"/>
      <c r="L10" s="50"/>
      <c r="M10" s="50"/>
      <c r="N10" s="50"/>
      <c r="O10" s="50">
        <v>1</v>
      </c>
      <c r="P10" s="50"/>
      <c r="Q10" s="50"/>
      <c r="R10" s="50"/>
      <c r="S10" s="50"/>
      <c r="T10" s="57"/>
      <c r="U10" s="50">
        <v>1</v>
      </c>
      <c r="V10" s="50"/>
      <c r="W10" s="49"/>
      <c r="X10" s="49"/>
      <c r="Y10" s="49"/>
      <c r="Z10" s="49"/>
      <c r="AA10" s="49"/>
      <c r="AB10" s="49"/>
      <c r="AC10" s="50">
        <v>1</v>
      </c>
      <c r="AD10" s="49"/>
      <c r="AE10" s="49"/>
      <c r="AF10" s="49"/>
      <c r="AG10" s="49"/>
      <c r="AH10" s="9">
        <f t="shared" si="0"/>
        <v>4</v>
      </c>
      <c r="AI10" s="9">
        <v>0</v>
      </c>
      <c r="AJ10" s="51">
        <v>2000</v>
      </c>
      <c r="AK10" s="52">
        <f>AJ10*AH10</f>
        <v>8000</v>
      </c>
      <c r="AL10" s="52">
        <v>500</v>
      </c>
    </row>
    <row r="11" spans="1:46" s="54" customFormat="1" ht="52.2" x14ac:dyDescent="0.3">
      <c r="A11" s="30" t="s">
        <v>27</v>
      </c>
      <c r="B11" s="48" t="s">
        <v>20</v>
      </c>
      <c r="C11" s="49"/>
      <c r="D11" s="49">
        <v>1</v>
      </c>
      <c r="E11" s="50">
        <v>1</v>
      </c>
      <c r="F11" s="50"/>
      <c r="G11" s="49"/>
      <c r="H11" s="49"/>
      <c r="I11" s="49"/>
      <c r="J11" s="49"/>
      <c r="K11" s="49">
        <v>1</v>
      </c>
      <c r="L11" s="50">
        <v>1</v>
      </c>
      <c r="M11" s="50"/>
      <c r="N11" s="49"/>
      <c r="O11" s="49"/>
      <c r="P11" s="49"/>
      <c r="Q11" s="49"/>
      <c r="R11" s="49">
        <v>1</v>
      </c>
      <c r="S11" s="50">
        <v>1</v>
      </c>
      <c r="T11" s="50"/>
      <c r="U11" s="49"/>
      <c r="V11" s="49"/>
      <c r="W11" s="49"/>
      <c r="X11" s="49"/>
      <c r="Y11" s="50">
        <v>1</v>
      </c>
      <c r="Z11" s="50">
        <v>1</v>
      </c>
      <c r="AA11" s="49"/>
      <c r="AB11" s="49"/>
      <c r="AC11" s="49"/>
      <c r="AD11" s="49"/>
      <c r="AE11" s="49"/>
      <c r="AF11" s="50">
        <v>1</v>
      </c>
      <c r="AG11" s="50">
        <v>1</v>
      </c>
      <c r="AH11" s="9">
        <f t="shared" si="0"/>
        <v>10</v>
      </c>
      <c r="AI11" s="9">
        <v>10</v>
      </c>
      <c r="AJ11" s="51">
        <v>20000</v>
      </c>
      <c r="AK11" s="52">
        <f t="shared" si="1"/>
        <v>20000</v>
      </c>
      <c r="AL11" s="16"/>
      <c r="AN11" s="58"/>
      <c r="AO11" s="58"/>
      <c r="AP11" s="58"/>
      <c r="AQ11" s="58"/>
      <c r="AR11" s="58"/>
      <c r="AS11" s="58"/>
      <c r="AT11" s="58"/>
    </row>
    <row r="12" spans="1:46" ht="34.799999999999997" x14ac:dyDescent="0.3">
      <c r="A12" s="30" t="s">
        <v>28</v>
      </c>
      <c r="B12" s="48" t="s">
        <v>21</v>
      </c>
      <c r="C12" s="56">
        <v>1</v>
      </c>
      <c r="D12" s="50">
        <v>1</v>
      </c>
      <c r="E12" s="49"/>
      <c r="F12" s="50"/>
      <c r="G12" s="49">
        <v>1</v>
      </c>
      <c r="H12" s="49"/>
      <c r="I12" s="49"/>
      <c r="J12" s="50">
        <v>1</v>
      </c>
      <c r="K12" s="50">
        <v>1</v>
      </c>
      <c r="L12" s="49"/>
      <c r="M12" s="50">
        <v>1</v>
      </c>
      <c r="N12" s="49"/>
      <c r="O12" s="49"/>
      <c r="P12" s="49"/>
      <c r="Q12" s="50">
        <v>1</v>
      </c>
      <c r="R12" s="50"/>
      <c r="S12" s="49">
        <v>1</v>
      </c>
      <c r="T12" s="50">
        <v>1</v>
      </c>
      <c r="U12" s="49"/>
      <c r="V12" s="49"/>
      <c r="W12" s="49"/>
      <c r="X12" s="50">
        <v>1</v>
      </c>
      <c r="Y12" s="50">
        <v>1</v>
      </c>
      <c r="Z12" s="49"/>
      <c r="AA12" s="49"/>
      <c r="AB12" s="50">
        <v>1</v>
      </c>
      <c r="AC12" s="49"/>
      <c r="AD12" s="49"/>
      <c r="AE12" s="50">
        <v>1</v>
      </c>
      <c r="AF12" s="50">
        <v>1</v>
      </c>
      <c r="AG12" s="49"/>
      <c r="AH12" s="9">
        <f t="shared" si="0"/>
        <v>14</v>
      </c>
      <c r="AI12" s="9">
        <v>14</v>
      </c>
      <c r="AJ12" s="59">
        <v>42000</v>
      </c>
      <c r="AK12" s="52">
        <f t="shared" si="1"/>
        <v>42000</v>
      </c>
      <c r="AL12" s="52">
        <v>1346</v>
      </c>
      <c r="AN12" s="18"/>
      <c r="AO12" s="60"/>
      <c r="AP12" s="60"/>
      <c r="AQ12" s="60"/>
      <c r="AR12" s="60"/>
      <c r="AS12" s="60"/>
      <c r="AT12" s="60"/>
    </row>
    <row r="13" spans="1:46" ht="34.799999999999997" x14ac:dyDescent="0.3">
      <c r="A13" s="30" t="s">
        <v>29</v>
      </c>
      <c r="B13" s="48" t="s">
        <v>22</v>
      </c>
      <c r="C13" s="49"/>
      <c r="D13" s="49"/>
      <c r="E13" s="50">
        <v>1</v>
      </c>
      <c r="F13" s="50">
        <v>1</v>
      </c>
      <c r="G13" s="49"/>
      <c r="H13" s="49"/>
      <c r="I13" s="49"/>
      <c r="J13" s="49"/>
      <c r="K13" s="49"/>
      <c r="L13" s="50">
        <v>1</v>
      </c>
      <c r="M13" s="50">
        <v>1</v>
      </c>
      <c r="N13" s="49"/>
      <c r="O13" s="49"/>
      <c r="P13" s="49"/>
      <c r="Q13" s="49"/>
      <c r="R13" s="49"/>
      <c r="S13" s="50">
        <v>1</v>
      </c>
      <c r="T13" s="50">
        <v>1</v>
      </c>
      <c r="U13" s="49"/>
      <c r="V13" s="49"/>
      <c r="W13" s="49"/>
      <c r="X13" s="50"/>
      <c r="Y13" s="49"/>
      <c r="Z13" s="49"/>
      <c r="AA13" s="50"/>
      <c r="AB13" s="49"/>
      <c r="AC13" s="49"/>
      <c r="AD13" s="49"/>
      <c r="AE13" s="50">
        <v>1</v>
      </c>
      <c r="AF13" s="49"/>
      <c r="AG13" s="49"/>
      <c r="AH13" s="9">
        <f t="shared" si="0"/>
        <v>7</v>
      </c>
      <c r="AI13" s="9">
        <v>9</v>
      </c>
      <c r="AJ13" s="51">
        <v>26400</v>
      </c>
      <c r="AK13" s="52">
        <f t="shared" si="1"/>
        <v>20533.333333333336</v>
      </c>
      <c r="AL13" s="9"/>
      <c r="AN13" s="18"/>
      <c r="AO13" s="60"/>
      <c r="AP13" s="60"/>
      <c r="AQ13" s="60"/>
      <c r="AR13" s="60"/>
      <c r="AS13" s="60"/>
      <c r="AT13" s="60"/>
    </row>
    <row r="14" spans="1:46" ht="17.399999999999999" x14ac:dyDescent="0.3">
      <c r="B14" s="97" t="s">
        <v>50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98"/>
      <c r="AI14" s="98"/>
      <c r="AJ14" s="99"/>
      <c r="AK14" s="63">
        <f>SUM(AK8:AK13)</f>
        <v>189000.00000000003</v>
      </c>
      <c r="AL14" s="53"/>
    </row>
    <row r="16" spans="1:46" x14ac:dyDescent="0.3">
      <c r="AJ16" s="65">
        <f>AJ12-AL12</f>
        <v>40654</v>
      </c>
    </row>
    <row r="20" spans="2:38" ht="25.8" customHeight="1" x14ac:dyDescent="0.3">
      <c r="B20" s="100" t="s">
        <v>14</v>
      </c>
      <c r="C20" s="100"/>
      <c r="D20" s="100"/>
      <c r="E20" s="100"/>
      <c r="F20" s="100"/>
      <c r="G20" s="100"/>
    </row>
    <row r="21" spans="2:38" ht="16.8" customHeight="1" x14ac:dyDescent="0.3">
      <c r="B21" s="100"/>
      <c r="C21" s="100"/>
      <c r="D21" s="100"/>
      <c r="E21" s="100"/>
      <c r="F21" s="100"/>
      <c r="G21" s="100"/>
    </row>
    <row r="22" spans="2:38" ht="16.8" customHeight="1" x14ac:dyDescent="0.3">
      <c r="B22" s="100"/>
      <c r="C22" s="100"/>
      <c r="D22" s="100"/>
      <c r="E22" s="100"/>
      <c r="F22" s="100"/>
      <c r="G22" s="100"/>
    </row>
    <row r="23" spans="2:38" ht="18" x14ac:dyDescent="0.3">
      <c r="B23" s="103" t="s">
        <v>58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</row>
    <row r="24" spans="2:38" s="61" customFormat="1" x14ac:dyDescent="0.3">
      <c r="B24" s="95" t="s">
        <v>59</v>
      </c>
      <c r="C24" s="95"/>
      <c r="D24" s="95"/>
      <c r="E24" s="95"/>
      <c r="F24" s="95"/>
      <c r="G24" s="95"/>
      <c r="H24" s="95"/>
      <c r="I24" s="95"/>
      <c r="J24" s="95"/>
      <c r="AK24" s="64"/>
    </row>
    <row r="25" spans="2:38" s="61" customFormat="1" x14ac:dyDescent="0.3">
      <c r="B25" s="95" t="s">
        <v>60</v>
      </c>
      <c r="C25" s="95"/>
      <c r="D25" s="95"/>
      <c r="E25" s="95"/>
      <c r="F25" s="95"/>
      <c r="G25" s="95"/>
      <c r="H25" s="95"/>
      <c r="I25" s="95"/>
      <c r="J25" s="95"/>
      <c r="AK25" s="64"/>
    </row>
    <row r="26" spans="2:38" s="61" customFormat="1" x14ac:dyDescent="0.3">
      <c r="B26" s="95" t="s">
        <v>53</v>
      </c>
      <c r="C26" s="95"/>
      <c r="D26" s="95"/>
      <c r="E26" s="95"/>
      <c r="F26" s="95"/>
      <c r="G26" s="95"/>
      <c r="H26" s="95"/>
      <c r="I26" s="95"/>
      <c r="J26" s="95"/>
      <c r="AK26" s="64"/>
      <c r="AL26" s="109"/>
    </row>
    <row r="27" spans="2:38" s="61" customFormat="1" ht="28.8" x14ac:dyDescent="0.3">
      <c r="B27" s="61" t="s">
        <v>44</v>
      </c>
      <c r="C27" s="95" t="s">
        <v>61</v>
      </c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AK27" s="64"/>
      <c r="AL27" s="109"/>
    </row>
    <row r="28" spans="2:38" s="61" customFormat="1" ht="28.8" x14ac:dyDescent="0.3">
      <c r="B28" s="61" t="s">
        <v>54</v>
      </c>
      <c r="C28" s="95" t="s">
        <v>62</v>
      </c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AK28" s="64"/>
      <c r="AL28" s="109"/>
    </row>
    <row r="44" spans="7:7" x14ac:dyDescent="0.3">
      <c r="G44" s="47" t="s">
        <v>15</v>
      </c>
    </row>
  </sheetData>
  <mergeCells count="19">
    <mergeCell ref="B1:AK1"/>
    <mergeCell ref="B2:AK2"/>
    <mergeCell ref="B3:AK3"/>
    <mergeCell ref="B4:AL4"/>
    <mergeCell ref="C5:AG5"/>
    <mergeCell ref="AH5:AH6"/>
    <mergeCell ref="AI5:AI6"/>
    <mergeCell ref="AJ5:AJ6"/>
    <mergeCell ref="AK5:AK6"/>
    <mergeCell ref="AL5:AL6"/>
    <mergeCell ref="B14:AJ14"/>
    <mergeCell ref="B23:AL23"/>
    <mergeCell ref="B24:J24"/>
    <mergeCell ref="B25:J25"/>
    <mergeCell ref="B26:J26"/>
    <mergeCell ref="AL26:AL28"/>
    <mergeCell ref="C27:R27"/>
    <mergeCell ref="C28:R28"/>
    <mergeCell ref="B20:G22"/>
  </mergeCells>
  <printOptions horizontalCentered="1" verticalCentered="1"/>
  <pageMargins left="0.23622047244094491" right="0.15748031496062992" top="0.59055118110236227" bottom="0.15748031496062992" header="0.15748031496062992" footer="0.15748031496062992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D813-7DBA-4332-A687-83345F1C80D7}">
  <dimension ref="A1:AU39"/>
  <sheetViews>
    <sheetView view="pageBreakPreview" topLeftCell="B1" zoomScaleSheetLayoutView="100" workbookViewId="0">
      <selection activeCell="O8" sqref="O8"/>
    </sheetView>
  </sheetViews>
  <sheetFormatPr defaultRowHeight="14.4" x14ac:dyDescent="0.3"/>
  <cols>
    <col min="1" max="1" width="7.109375" bestFit="1" customWidth="1"/>
    <col min="2" max="2" width="31.6640625" style="23" bestFit="1" customWidth="1"/>
    <col min="3" max="3" width="3.33203125" bestFit="1" customWidth="1"/>
    <col min="4" max="5" width="3.77734375" bestFit="1" customWidth="1"/>
    <col min="6" max="6" width="4.109375" bestFit="1" customWidth="1"/>
    <col min="7" max="7" width="2.88671875" bestFit="1" customWidth="1"/>
    <col min="8" max="8" width="2.6640625" bestFit="1" customWidth="1"/>
    <col min="9" max="9" width="3.109375" bestFit="1" customWidth="1"/>
    <col min="10" max="10" width="3.33203125" bestFit="1" customWidth="1"/>
    <col min="11" max="12" width="3.77734375" bestFit="1" customWidth="1"/>
    <col min="13" max="13" width="3.109375" bestFit="1" customWidth="1"/>
    <col min="14" max="15" width="3" bestFit="1" customWidth="1"/>
    <col min="16" max="16" width="3.109375" bestFit="1" customWidth="1"/>
    <col min="17" max="17" width="3.33203125" bestFit="1" customWidth="1"/>
    <col min="18" max="19" width="3.77734375" bestFit="1" customWidth="1"/>
    <col min="20" max="20" width="3.109375" bestFit="1" customWidth="1"/>
    <col min="21" max="22" width="3" bestFit="1" customWidth="1"/>
    <col min="23" max="23" width="3.109375" bestFit="1" customWidth="1"/>
    <col min="24" max="24" width="3.33203125" bestFit="1" customWidth="1"/>
    <col min="25" max="26" width="3.77734375" bestFit="1" customWidth="1"/>
    <col min="27" max="27" width="3.109375" bestFit="1" customWidth="1"/>
    <col min="28" max="29" width="3" bestFit="1" customWidth="1"/>
    <col min="30" max="30" width="3.109375" bestFit="1" customWidth="1"/>
    <col min="31" max="31" width="3.33203125" bestFit="1" customWidth="1"/>
    <col min="32" max="32" width="3.77734375" bestFit="1" customWidth="1"/>
    <col min="33" max="33" width="4.33203125" bestFit="1" customWidth="1"/>
    <col min="34" max="34" width="8.88671875" customWidth="1"/>
    <col min="35" max="35" width="14.5546875" customWidth="1"/>
    <col min="36" max="36" width="9" customWidth="1"/>
    <col min="37" max="37" width="12.88671875" customWidth="1"/>
    <col min="38" max="38" width="10.109375" customWidth="1"/>
    <col min="39" max="39" width="6" bestFit="1" customWidth="1"/>
    <col min="40" max="40" width="7.109375" bestFit="1" customWidth="1"/>
    <col min="42" max="42" width="6" bestFit="1" customWidth="1"/>
  </cols>
  <sheetData>
    <row r="1" spans="1:47" ht="17.399999999999999" x14ac:dyDescent="0.3"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</row>
    <row r="2" spans="1:47" ht="15.6" x14ac:dyDescent="0.3">
      <c r="B2" s="117" t="s">
        <v>1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spans="1:47" ht="15.6" x14ac:dyDescent="0.3">
      <c r="B3" s="118" t="s">
        <v>2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</row>
    <row r="4" spans="1:47" ht="15.6" x14ac:dyDescent="0.3">
      <c r="B4" s="119" t="s">
        <v>32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</row>
    <row r="5" spans="1:47" ht="45" customHeight="1" x14ac:dyDescent="0.3">
      <c r="A5" s="32" t="s">
        <v>30</v>
      </c>
      <c r="B5" s="1" t="s">
        <v>3</v>
      </c>
      <c r="C5" s="105" t="s">
        <v>4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110" t="s">
        <v>46</v>
      </c>
      <c r="AI5" s="110" t="s">
        <v>47</v>
      </c>
      <c r="AJ5" s="112" t="s">
        <v>48</v>
      </c>
      <c r="AK5" s="114" t="s">
        <v>49</v>
      </c>
      <c r="AL5" s="114" t="s">
        <v>13</v>
      </c>
    </row>
    <row r="6" spans="1:47" ht="40.5" customHeight="1" x14ac:dyDescent="0.3">
      <c r="A6" s="32"/>
      <c r="B6" s="1"/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1">
        <v>22</v>
      </c>
      <c r="Y6" s="1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">
        <v>29</v>
      </c>
      <c r="AF6" s="1">
        <v>30</v>
      </c>
      <c r="AG6" s="1"/>
      <c r="AH6" s="111"/>
      <c r="AI6" s="111"/>
      <c r="AJ6" s="113"/>
      <c r="AK6" s="115"/>
      <c r="AL6" s="115"/>
    </row>
    <row r="7" spans="1:47" ht="26.4" x14ac:dyDescent="0.3">
      <c r="A7" s="32"/>
      <c r="B7" s="1"/>
      <c r="C7" s="1" t="s">
        <v>39</v>
      </c>
      <c r="D7" s="1" t="s">
        <v>40</v>
      </c>
      <c r="E7" s="1" t="s">
        <v>33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33</v>
      </c>
      <c r="M7" s="1" t="s">
        <v>35</v>
      </c>
      <c r="N7" s="1" t="s">
        <v>36</v>
      </c>
      <c r="O7" s="1" t="s">
        <v>37</v>
      </c>
      <c r="P7" s="1" t="s">
        <v>38</v>
      </c>
      <c r="Q7" s="1" t="s">
        <v>39</v>
      </c>
      <c r="R7" s="1" t="s">
        <v>40</v>
      </c>
      <c r="S7" s="1" t="s">
        <v>33</v>
      </c>
      <c r="T7" s="1" t="s">
        <v>35</v>
      </c>
      <c r="U7" s="1" t="s">
        <v>36</v>
      </c>
      <c r="V7" s="1" t="s">
        <v>37</v>
      </c>
      <c r="W7" s="1" t="s">
        <v>38</v>
      </c>
      <c r="X7" s="1" t="s">
        <v>39</v>
      </c>
      <c r="Y7" s="1" t="s">
        <v>40</v>
      </c>
      <c r="Z7" s="1" t="s">
        <v>33</v>
      </c>
      <c r="AA7" s="1" t="s">
        <v>35</v>
      </c>
      <c r="AB7" s="1" t="s">
        <v>36</v>
      </c>
      <c r="AC7" s="1" t="s">
        <v>37</v>
      </c>
      <c r="AD7" s="1" t="s">
        <v>38</v>
      </c>
      <c r="AE7" s="1" t="s">
        <v>39</v>
      </c>
      <c r="AF7" s="1" t="s">
        <v>40</v>
      </c>
      <c r="AH7" s="2"/>
      <c r="AI7" s="2"/>
      <c r="AJ7" s="2"/>
      <c r="AK7" s="2"/>
      <c r="AL7" s="2"/>
    </row>
    <row r="8" spans="1:47" s="13" customFormat="1" ht="30" customHeight="1" x14ac:dyDescent="0.3">
      <c r="A8" s="30" t="s">
        <v>24</v>
      </c>
      <c r="B8" s="29" t="s">
        <v>17</v>
      </c>
      <c r="C8" s="36"/>
      <c r="D8" s="36"/>
      <c r="E8" s="36"/>
      <c r="F8" s="41"/>
      <c r="G8" s="41"/>
      <c r="H8" s="41">
        <v>1</v>
      </c>
      <c r="I8" s="36"/>
      <c r="J8" s="36"/>
      <c r="K8" s="36"/>
      <c r="L8" s="36"/>
      <c r="M8" s="41">
        <v>1</v>
      </c>
      <c r="N8" s="41">
        <v>1</v>
      </c>
      <c r="O8" s="41">
        <v>1</v>
      </c>
      <c r="P8" s="36"/>
      <c r="Q8" s="36"/>
      <c r="R8" s="36"/>
      <c r="S8" s="36"/>
      <c r="T8" s="41">
        <v>1</v>
      </c>
      <c r="U8" s="41">
        <v>1</v>
      </c>
      <c r="V8" s="41">
        <v>1</v>
      </c>
      <c r="W8" s="36"/>
      <c r="X8" s="36"/>
      <c r="Y8" s="36"/>
      <c r="Z8" s="36"/>
      <c r="AA8" s="41">
        <v>1</v>
      </c>
      <c r="AB8" s="41">
        <v>1</v>
      </c>
      <c r="AC8" s="41">
        <v>1</v>
      </c>
      <c r="AD8" s="36"/>
      <c r="AE8" s="36"/>
      <c r="AF8" s="36"/>
      <c r="AG8" s="41"/>
      <c r="AH8" s="9">
        <f t="shared" ref="AH8:AH13" si="0">COUNT(C8:AG8)</f>
        <v>10</v>
      </c>
      <c r="AI8" s="9">
        <v>12</v>
      </c>
      <c r="AJ8" s="38">
        <v>75000</v>
      </c>
      <c r="AK8" s="44">
        <f>AJ8/AI8*AH8</f>
        <v>62500</v>
      </c>
      <c r="AL8" s="12"/>
      <c r="AM8" s="13">
        <v>50000</v>
      </c>
      <c r="AN8" s="43">
        <f>AM8-AK8</f>
        <v>-12500</v>
      </c>
      <c r="AO8" s="40"/>
    </row>
    <row r="9" spans="1:47" s="13" customFormat="1" ht="30" customHeight="1" x14ac:dyDescent="0.3">
      <c r="A9" s="31" t="s">
        <v>25</v>
      </c>
      <c r="B9" s="29" t="s">
        <v>18</v>
      </c>
      <c r="C9" s="14"/>
      <c r="D9" s="7"/>
      <c r="E9" s="7"/>
      <c r="F9" s="7"/>
      <c r="G9" s="7"/>
      <c r="H9" s="7">
        <v>1</v>
      </c>
      <c r="I9" s="7"/>
      <c r="J9" s="7"/>
      <c r="K9" s="7"/>
      <c r="L9" s="7"/>
      <c r="M9" s="7">
        <v>1</v>
      </c>
      <c r="N9" s="7"/>
      <c r="O9" s="7"/>
      <c r="P9" s="7">
        <v>1</v>
      </c>
      <c r="Q9" s="7"/>
      <c r="R9" s="7"/>
      <c r="S9" s="41"/>
      <c r="T9" s="7">
        <v>1</v>
      </c>
      <c r="U9" s="7">
        <v>1</v>
      </c>
      <c r="V9" s="7">
        <v>1</v>
      </c>
      <c r="W9" s="7"/>
      <c r="X9" s="7"/>
      <c r="Y9" s="7"/>
      <c r="Z9" s="7">
        <v>1</v>
      </c>
      <c r="AA9" s="7">
        <v>1</v>
      </c>
      <c r="AB9" s="7"/>
      <c r="AC9" s="7">
        <v>1</v>
      </c>
      <c r="AD9" s="7"/>
      <c r="AE9" s="7"/>
      <c r="AF9" s="7"/>
      <c r="AG9" s="7"/>
      <c r="AH9" s="9">
        <f t="shared" si="0"/>
        <v>9</v>
      </c>
      <c r="AI9" s="9">
        <v>8</v>
      </c>
      <c r="AJ9" s="38">
        <v>26400</v>
      </c>
      <c r="AK9" s="44">
        <f t="shared" ref="AK9:AK13" si="1">AJ9/AI9*AH9</f>
        <v>29700</v>
      </c>
      <c r="AL9" s="12"/>
      <c r="AM9" s="13">
        <v>19800</v>
      </c>
      <c r="AN9" s="43">
        <f t="shared" ref="AN9:AN13" si="2">AM9-AK9</f>
        <v>-9900</v>
      </c>
    </row>
    <row r="10" spans="1:47" s="13" customFormat="1" ht="30" customHeight="1" x14ac:dyDescent="0.3">
      <c r="A10" s="31" t="s">
        <v>26</v>
      </c>
      <c r="B10" s="29" t="s">
        <v>19</v>
      </c>
      <c r="C10" s="14"/>
      <c r="D10" s="7"/>
      <c r="E10" s="7"/>
      <c r="F10" s="7"/>
      <c r="G10" s="7"/>
      <c r="H10" s="7"/>
      <c r="I10" s="7"/>
      <c r="J10" s="7"/>
      <c r="K10" s="7"/>
      <c r="L10" s="7"/>
      <c r="M10" s="45"/>
      <c r="N10" s="7"/>
      <c r="O10" s="7"/>
      <c r="P10" s="7"/>
      <c r="Q10" s="7"/>
      <c r="R10" s="7"/>
      <c r="S10" s="7"/>
      <c r="T10" s="8"/>
      <c r="U10" s="7"/>
      <c r="V10" s="7"/>
      <c r="W10" s="7">
        <v>1</v>
      </c>
      <c r="X10" s="7"/>
      <c r="Y10" s="7"/>
      <c r="Z10" s="7"/>
      <c r="AA10" s="7"/>
      <c r="AB10" s="7"/>
      <c r="AC10" s="7"/>
      <c r="AD10" s="7">
        <v>1</v>
      </c>
      <c r="AE10" s="7"/>
      <c r="AF10" s="7"/>
      <c r="AG10" s="7"/>
      <c r="AH10" s="9">
        <f t="shared" si="0"/>
        <v>2</v>
      </c>
      <c r="AI10" s="9">
        <v>2</v>
      </c>
      <c r="AJ10" s="38">
        <v>2000</v>
      </c>
      <c r="AK10" s="44">
        <f>AJ10*AI10</f>
        <v>4000</v>
      </c>
      <c r="AL10" s="12"/>
      <c r="AM10" s="13">
        <v>4500</v>
      </c>
      <c r="AN10" s="43">
        <f t="shared" si="2"/>
        <v>500</v>
      </c>
      <c r="AP10" s="13">
        <f>12500-1429</f>
        <v>11071</v>
      </c>
    </row>
    <row r="11" spans="1:47" s="13" customFormat="1" ht="30" customHeight="1" x14ac:dyDescent="0.3">
      <c r="A11" s="31" t="s">
        <v>27</v>
      </c>
      <c r="B11" s="29" t="s">
        <v>20</v>
      </c>
      <c r="C11" s="36"/>
      <c r="D11" s="36"/>
      <c r="E11" s="36"/>
      <c r="F11" s="46"/>
      <c r="G11" s="7"/>
      <c r="H11" s="36"/>
      <c r="I11" s="36"/>
      <c r="J11" s="36"/>
      <c r="K11" s="36"/>
      <c r="L11" s="36"/>
      <c r="M11" s="7"/>
      <c r="N11" s="7"/>
      <c r="O11" s="36"/>
      <c r="P11" s="36"/>
      <c r="Q11" s="36"/>
      <c r="R11" s="36"/>
      <c r="S11" s="36"/>
      <c r="T11" s="7">
        <v>1</v>
      </c>
      <c r="U11" s="7">
        <v>1</v>
      </c>
      <c r="V11" s="36"/>
      <c r="W11" s="36"/>
      <c r="X11" s="36"/>
      <c r="Y11" s="36"/>
      <c r="Z11" s="36"/>
      <c r="AA11" s="7">
        <v>1</v>
      </c>
      <c r="AB11" s="7">
        <v>1</v>
      </c>
      <c r="AC11" s="36"/>
      <c r="AD11" s="36"/>
      <c r="AE11" s="36"/>
      <c r="AF11" s="36"/>
      <c r="AG11" s="14"/>
      <c r="AH11" s="9">
        <f t="shared" si="0"/>
        <v>4</v>
      </c>
      <c r="AI11" s="9">
        <v>8</v>
      </c>
      <c r="AJ11" s="38">
        <v>20000</v>
      </c>
      <c r="AK11" s="44">
        <f t="shared" si="1"/>
        <v>10000</v>
      </c>
      <c r="AL11" s="16"/>
      <c r="AM11" s="13">
        <v>10000</v>
      </c>
      <c r="AN11" s="43">
        <f t="shared" si="2"/>
        <v>0</v>
      </c>
      <c r="AO11" s="15"/>
      <c r="AP11" s="15"/>
      <c r="AQ11" s="15"/>
      <c r="AR11" s="15"/>
      <c r="AS11" s="15"/>
      <c r="AT11" s="15"/>
      <c r="AU11" s="15"/>
    </row>
    <row r="12" spans="1:47" ht="30" customHeight="1" x14ac:dyDescent="0.3">
      <c r="A12" s="31" t="s">
        <v>28</v>
      </c>
      <c r="B12" s="29" t="s">
        <v>21</v>
      </c>
      <c r="C12" s="36"/>
      <c r="D12" s="36"/>
      <c r="E12" s="7"/>
      <c r="F12" s="7"/>
      <c r="G12" s="36"/>
      <c r="H12" s="7">
        <v>1</v>
      </c>
      <c r="I12" s="36"/>
      <c r="J12" s="36"/>
      <c r="K12" s="36"/>
      <c r="L12" s="7">
        <v>1</v>
      </c>
      <c r="M12" s="7">
        <v>1</v>
      </c>
      <c r="N12" s="36"/>
      <c r="O12" s="7">
        <v>1</v>
      </c>
      <c r="P12" s="36"/>
      <c r="Q12" s="36"/>
      <c r="R12" s="36"/>
      <c r="S12" s="7">
        <v>1</v>
      </c>
      <c r="T12" s="7">
        <v>1</v>
      </c>
      <c r="U12" s="36"/>
      <c r="V12" s="7"/>
      <c r="W12" s="36">
        <v>1</v>
      </c>
      <c r="X12" s="36"/>
      <c r="Y12" s="36"/>
      <c r="Z12" s="7">
        <v>1</v>
      </c>
      <c r="AA12" s="7">
        <v>1</v>
      </c>
      <c r="AB12" s="36"/>
      <c r="AC12" s="7">
        <v>1</v>
      </c>
      <c r="AD12" s="36"/>
      <c r="AE12" s="36"/>
      <c r="AF12" s="36"/>
      <c r="AG12" s="14"/>
      <c r="AH12" s="9">
        <f t="shared" si="0"/>
        <v>10</v>
      </c>
      <c r="AI12" s="9">
        <v>12</v>
      </c>
      <c r="AJ12" s="39">
        <v>42000</v>
      </c>
      <c r="AK12" s="44">
        <f t="shared" si="1"/>
        <v>35000</v>
      </c>
      <c r="AL12" s="9"/>
      <c r="AM12" s="15">
        <v>35000</v>
      </c>
      <c r="AN12" s="43">
        <f t="shared" si="2"/>
        <v>0</v>
      </c>
      <c r="AO12" s="19"/>
      <c r="AP12" s="20"/>
      <c r="AQ12" s="20"/>
      <c r="AR12" s="20"/>
      <c r="AS12" s="20"/>
      <c r="AT12" s="20"/>
      <c r="AU12" s="20"/>
    </row>
    <row r="13" spans="1:47" ht="30" customHeight="1" x14ac:dyDescent="0.3">
      <c r="A13" s="31" t="s">
        <v>29</v>
      </c>
      <c r="B13" s="29" t="s">
        <v>22</v>
      </c>
      <c r="C13" s="36"/>
      <c r="D13" s="36"/>
      <c r="E13" s="36"/>
      <c r="F13" s="36"/>
      <c r="G13" s="7"/>
      <c r="H13" s="7">
        <v>1</v>
      </c>
      <c r="I13" s="36"/>
      <c r="J13" s="36"/>
      <c r="K13" s="36"/>
      <c r="L13" s="36"/>
      <c r="M13" s="36"/>
      <c r="N13" s="7"/>
      <c r="O13" s="7"/>
      <c r="P13" s="36"/>
      <c r="Q13" s="36"/>
      <c r="R13" s="36"/>
      <c r="S13" s="36"/>
      <c r="T13" s="36"/>
      <c r="U13" s="7"/>
      <c r="V13" s="7">
        <v>1</v>
      </c>
      <c r="W13" s="36"/>
      <c r="X13" s="36"/>
      <c r="Y13" s="36"/>
      <c r="Z13" s="36"/>
      <c r="AA13" s="36"/>
      <c r="AB13" s="7">
        <v>1</v>
      </c>
      <c r="AC13" s="7">
        <v>1</v>
      </c>
      <c r="AD13" s="36"/>
      <c r="AE13" s="36"/>
      <c r="AF13" s="36"/>
      <c r="AG13" s="14"/>
      <c r="AH13" s="9">
        <f t="shared" si="0"/>
        <v>4</v>
      </c>
      <c r="AI13" s="9">
        <v>8</v>
      </c>
      <c r="AJ13" s="38">
        <v>26400</v>
      </c>
      <c r="AK13" s="44">
        <f t="shared" si="1"/>
        <v>13200</v>
      </c>
      <c r="AL13" s="9"/>
      <c r="AM13" s="15">
        <v>13200</v>
      </c>
      <c r="AN13" s="43">
        <f t="shared" si="2"/>
        <v>0</v>
      </c>
      <c r="AO13" s="19"/>
      <c r="AP13" s="20"/>
      <c r="AQ13" s="20"/>
      <c r="AR13" s="20"/>
      <c r="AS13" s="20"/>
      <c r="AT13" s="20"/>
      <c r="AU13" s="20"/>
    </row>
    <row r="14" spans="1:47" ht="34.5" customHeight="1" x14ac:dyDescent="0.3">
      <c r="B14" s="97" t="s">
        <v>50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98"/>
      <c r="AI14" s="98"/>
      <c r="AJ14" s="99"/>
      <c r="AK14" s="42">
        <f>SUM(AK8:AK13)</f>
        <v>154400</v>
      </c>
      <c r="AL14" s="12"/>
    </row>
    <row r="17" spans="2:38" ht="18" x14ac:dyDescent="0.3">
      <c r="B17" s="103" t="s">
        <v>52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</row>
    <row r="18" spans="2:38" x14ac:dyDescent="0.3">
      <c r="B18" s="102" t="s">
        <v>41</v>
      </c>
      <c r="C18" s="102"/>
      <c r="D18" s="102"/>
      <c r="E18" s="102"/>
      <c r="F18" s="102"/>
      <c r="G18" s="102"/>
      <c r="H18" s="102"/>
      <c r="I18" s="102"/>
      <c r="J18" s="102"/>
    </row>
    <row r="19" spans="2:38" x14ac:dyDescent="0.3">
      <c r="B19" s="102" t="s">
        <v>42</v>
      </c>
      <c r="C19" s="102"/>
      <c r="D19" s="102"/>
      <c r="E19" s="102"/>
      <c r="F19" s="102"/>
      <c r="G19" s="102"/>
      <c r="H19" s="102"/>
      <c r="I19" s="102"/>
      <c r="J19" s="102"/>
    </row>
    <row r="20" spans="2:38" x14ac:dyDescent="0.3">
      <c r="B20" s="102" t="s">
        <v>53</v>
      </c>
      <c r="C20" s="102"/>
      <c r="D20" s="102"/>
      <c r="E20" s="102"/>
      <c r="F20" s="102"/>
      <c r="G20" s="102"/>
      <c r="H20" s="102"/>
      <c r="I20" s="102"/>
      <c r="J20" s="102"/>
      <c r="AL20" s="100"/>
    </row>
    <row r="21" spans="2:38" x14ac:dyDescent="0.3">
      <c r="B21" s="37" t="s">
        <v>44</v>
      </c>
      <c r="AL21" s="100"/>
    </row>
    <row r="22" spans="2:38" x14ac:dyDescent="0.3">
      <c r="B22" s="37" t="s">
        <v>54</v>
      </c>
      <c r="AL22" s="100"/>
    </row>
    <row r="23" spans="2:38" hidden="1" x14ac:dyDescent="0.3"/>
    <row r="39" spans="7:7" x14ac:dyDescent="0.3">
      <c r="G39" t="s">
        <v>15</v>
      </c>
    </row>
  </sheetData>
  <mergeCells count="16">
    <mergeCell ref="B14:AJ14"/>
    <mergeCell ref="AL20:AL22"/>
    <mergeCell ref="B1:AK1"/>
    <mergeCell ref="B2:AK2"/>
    <mergeCell ref="B3:AK3"/>
    <mergeCell ref="B4:AL4"/>
    <mergeCell ref="C5:AG5"/>
    <mergeCell ref="AH5:AH6"/>
    <mergeCell ref="AI5:AI6"/>
    <mergeCell ref="AJ5:AJ6"/>
    <mergeCell ref="AK5:AK6"/>
    <mergeCell ref="AL5:AL6"/>
    <mergeCell ref="B17:AL17"/>
    <mergeCell ref="B19:J19"/>
    <mergeCell ref="B18:J18"/>
    <mergeCell ref="B20:J20"/>
  </mergeCells>
  <printOptions horizontalCentered="1" verticalCentered="1"/>
  <pageMargins left="0.25" right="0.15" top="0.57999999999999996" bottom="0.14000000000000001" header="0.15" footer="0.14000000000000001"/>
  <pageSetup paperSize="9" scale="68" orientation="landscape" r:id="rId1"/>
  <rowBreaks count="1" manualBreakCount="1">
    <brk id="22" max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6F34-BBFB-4020-B938-6B4789537575}">
  <dimension ref="A1:AU39"/>
  <sheetViews>
    <sheetView view="pageBreakPreview" topLeftCell="E2" zoomScaleSheetLayoutView="100" workbookViewId="0">
      <selection activeCell="AN12" sqref="AN12"/>
    </sheetView>
  </sheetViews>
  <sheetFormatPr defaultRowHeight="14.4" x14ac:dyDescent="0.3"/>
  <cols>
    <col min="1" max="1" width="7.109375" bestFit="1" customWidth="1"/>
    <col min="2" max="2" width="31.6640625" style="23" bestFit="1" customWidth="1"/>
    <col min="3" max="3" width="4.77734375" bestFit="1" customWidth="1"/>
    <col min="4" max="4" width="4" bestFit="1" customWidth="1"/>
    <col min="5" max="5" width="4.33203125" bestFit="1" customWidth="1"/>
    <col min="6" max="6" width="4.109375" bestFit="1" customWidth="1"/>
    <col min="7" max="7" width="3.109375" bestFit="1" customWidth="1"/>
    <col min="8" max="8" width="3.33203125" bestFit="1" customWidth="1"/>
    <col min="9" max="9" width="3.77734375" bestFit="1" customWidth="1"/>
    <col min="10" max="10" width="4.77734375" bestFit="1" customWidth="1"/>
    <col min="11" max="11" width="4.109375" bestFit="1" customWidth="1"/>
    <col min="12" max="12" width="4.33203125" bestFit="1" customWidth="1"/>
    <col min="13" max="13" width="3.6640625" bestFit="1" customWidth="1"/>
    <col min="14" max="14" width="3.109375" bestFit="1" customWidth="1"/>
    <col min="15" max="15" width="3.33203125" bestFit="1" customWidth="1"/>
    <col min="16" max="16" width="3.77734375" bestFit="1" customWidth="1"/>
    <col min="17" max="17" width="4.77734375" bestFit="1" customWidth="1"/>
    <col min="18" max="18" width="4.109375" bestFit="1" customWidth="1"/>
    <col min="19" max="19" width="4.33203125" bestFit="1" customWidth="1"/>
    <col min="20" max="20" width="3.6640625" bestFit="1" customWidth="1"/>
    <col min="21" max="21" width="3.109375" bestFit="1" customWidth="1"/>
    <col min="22" max="22" width="3.33203125" bestFit="1" customWidth="1"/>
    <col min="23" max="23" width="3.77734375" bestFit="1" customWidth="1"/>
    <col min="24" max="24" width="4.77734375" bestFit="1" customWidth="1"/>
    <col min="25" max="25" width="4.109375" bestFit="1" customWidth="1"/>
    <col min="26" max="26" width="4.33203125" bestFit="1" customWidth="1"/>
    <col min="27" max="27" width="3.6640625" bestFit="1" customWidth="1"/>
    <col min="28" max="28" width="3.109375" bestFit="1" customWidth="1"/>
    <col min="29" max="29" width="3.33203125" bestFit="1" customWidth="1"/>
    <col min="30" max="30" width="3.77734375" bestFit="1" customWidth="1"/>
    <col min="31" max="31" width="4.77734375" bestFit="1" customWidth="1"/>
    <col min="32" max="32" width="4.109375" bestFit="1" customWidth="1"/>
    <col min="33" max="33" width="4.33203125" bestFit="1" customWidth="1"/>
    <col min="34" max="34" width="9.21875" customWidth="1"/>
    <col min="35" max="35" width="10.33203125" customWidth="1"/>
    <col min="36" max="36" width="8.33203125" bestFit="1" customWidth="1"/>
    <col min="37" max="37" width="10.77734375" bestFit="1" customWidth="1"/>
    <col min="38" max="38" width="8.33203125" bestFit="1" customWidth="1"/>
  </cols>
  <sheetData>
    <row r="1" spans="1:47" ht="17.399999999999999" x14ac:dyDescent="0.3"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</row>
    <row r="2" spans="1:47" ht="15.6" x14ac:dyDescent="0.3">
      <c r="B2" s="117" t="s">
        <v>1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spans="1:47" ht="15.6" x14ac:dyDescent="0.3">
      <c r="B3" s="118" t="s">
        <v>2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</row>
    <row r="4" spans="1:47" ht="15.6" x14ac:dyDescent="0.3">
      <c r="B4" s="119" t="s">
        <v>31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</row>
    <row r="5" spans="1:47" ht="45" customHeight="1" x14ac:dyDescent="0.3">
      <c r="A5" s="32" t="s">
        <v>30</v>
      </c>
      <c r="B5" s="1" t="s">
        <v>3</v>
      </c>
      <c r="C5" s="105" t="s">
        <v>4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110" t="s">
        <v>46</v>
      </c>
      <c r="AI5" s="110" t="s">
        <v>47</v>
      </c>
      <c r="AJ5" s="112" t="s">
        <v>48</v>
      </c>
      <c r="AK5" s="114" t="s">
        <v>49</v>
      </c>
      <c r="AL5" s="114" t="s">
        <v>13</v>
      </c>
      <c r="AM5" s="114" t="s">
        <v>55</v>
      </c>
      <c r="AN5" s="114" t="s">
        <v>56</v>
      </c>
    </row>
    <row r="6" spans="1:47" ht="40.5" customHeight="1" x14ac:dyDescent="0.3">
      <c r="A6" s="32"/>
      <c r="B6" s="1"/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1">
        <v>22</v>
      </c>
      <c r="Y6" s="1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">
        <v>29</v>
      </c>
      <c r="AF6" s="1">
        <v>30</v>
      </c>
      <c r="AG6" s="1">
        <v>31</v>
      </c>
      <c r="AH6" s="111"/>
      <c r="AI6" s="111"/>
      <c r="AJ6" s="113"/>
      <c r="AK6" s="115"/>
      <c r="AL6" s="115"/>
      <c r="AM6" s="115"/>
      <c r="AN6" s="115"/>
    </row>
    <row r="7" spans="1:47" ht="26.4" x14ac:dyDescent="0.3">
      <c r="A7" s="32"/>
      <c r="B7" s="1"/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33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  <c r="N7" s="1" t="s">
        <v>40</v>
      </c>
      <c r="O7" s="1" t="s">
        <v>33</v>
      </c>
      <c r="P7" s="1" t="s">
        <v>35</v>
      </c>
      <c r="Q7" s="1" t="s">
        <v>36</v>
      </c>
      <c r="R7" s="1" t="s">
        <v>37</v>
      </c>
      <c r="S7" s="1" t="s">
        <v>38</v>
      </c>
      <c r="T7" s="1" t="s">
        <v>39</v>
      </c>
      <c r="U7" s="1" t="s">
        <v>40</v>
      </c>
      <c r="V7" s="1" t="s">
        <v>33</v>
      </c>
      <c r="W7" s="1" t="s">
        <v>35</v>
      </c>
      <c r="X7" s="1" t="s">
        <v>36</v>
      </c>
      <c r="Y7" s="1" t="s">
        <v>37</v>
      </c>
      <c r="Z7" s="1" t="s">
        <v>38</v>
      </c>
      <c r="AA7" s="1" t="s">
        <v>39</v>
      </c>
      <c r="AB7" s="1" t="s">
        <v>40</v>
      </c>
      <c r="AC7" s="1" t="s">
        <v>33</v>
      </c>
      <c r="AD7" s="1" t="s">
        <v>35</v>
      </c>
      <c r="AE7" s="1" t="s">
        <v>36</v>
      </c>
      <c r="AF7" s="1" t="s">
        <v>37</v>
      </c>
      <c r="AG7" s="1" t="s">
        <v>38</v>
      </c>
      <c r="AH7" s="2"/>
      <c r="AI7" s="2"/>
      <c r="AJ7" s="2"/>
      <c r="AK7" s="2"/>
      <c r="AL7" s="2"/>
    </row>
    <row r="8" spans="1:47" s="13" customFormat="1" ht="30" customHeight="1" x14ac:dyDescent="0.3">
      <c r="A8" s="30" t="s">
        <v>24</v>
      </c>
      <c r="B8" s="29" t="s">
        <v>17</v>
      </c>
      <c r="C8" s="41">
        <v>1</v>
      </c>
      <c r="D8" s="41"/>
      <c r="E8" s="36">
        <v>1</v>
      </c>
      <c r="F8" s="36"/>
      <c r="G8" s="36"/>
      <c r="H8" s="36"/>
      <c r="I8" s="41">
        <v>1</v>
      </c>
      <c r="J8" s="41">
        <v>1</v>
      </c>
      <c r="K8" s="41">
        <v>1</v>
      </c>
      <c r="L8" s="36"/>
      <c r="M8" s="36"/>
      <c r="N8" s="36"/>
      <c r="O8" s="36">
        <v>1</v>
      </c>
      <c r="P8" s="41">
        <v>1</v>
      </c>
      <c r="Q8" s="41">
        <v>1</v>
      </c>
      <c r="R8" s="41"/>
      <c r="S8" s="36"/>
      <c r="T8" s="36"/>
      <c r="U8" s="36"/>
      <c r="V8" s="36"/>
      <c r="W8" s="41"/>
      <c r="X8" s="41"/>
      <c r="Y8" s="41"/>
      <c r="Z8" s="36"/>
      <c r="AA8" s="36"/>
      <c r="AB8" s="36"/>
      <c r="AC8" s="36">
        <v>1</v>
      </c>
      <c r="AD8" s="41"/>
      <c r="AE8" s="41">
        <v>1</v>
      </c>
      <c r="AF8" s="41"/>
      <c r="AG8" s="36"/>
      <c r="AH8" s="9">
        <f t="shared" ref="AH8:AH13" si="0">COUNT(C8:AG8)</f>
        <v>10</v>
      </c>
      <c r="AI8" s="9">
        <v>14</v>
      </c>
      <c r="AJ8" s="38">
        <v>75000</v>
      </c>
      <c r="AK8" s="44">
        <f>AJ8/AI8*AH8</f>
        <v>53571.428571428565</v>
      </c>
      <c r="AL8" s="12"/>
      <c r="AM8" s="13">
        <v>54991.94</v>
      </c>
      <c r="AN8" s="43">
        <f>AK8-AM8</f>
        <v>-1420.5114285714371</v>
      </c>
      <c r="AO8" s="40"/>
      <c r="AR8" s="13">
        <f>75000/14</f>
        <v>5357.1428571428569</v>
      </c>
    </row>
    <row r="9" spans="1:47" s="13" customFormat="1" ht="30" customHeight="1" x14ac:dyDescent="0.3">
      <c r="A9" s="31" t="s">
        <v>25</v>
      </c>
      <c r="B9" s="29" t="s">
        <v>18</v>
      </c>
      <c r="C9" s="14"/>
      <c r="D9" s="7"/>
      <c r="E9" s="7"/>
      <c r="F9" s="7"/>
      <c r="G9" s="7"/>
      <c r="H9" s="7"/>
      <c r="I9" s="7">
        <v>1</v>
      </c>
      <c r="J9" s="7"/>
      <c r="K9" s="7">
        <v>1</v>
      </c>
      <c r="L9" s="7"/>
      <c r="M9" s="7"/>
      <c r="N9" s="7"/>
      <c r="O9" s="7">
        <v>1</v>
      </c>
      <c r="P9" s="7">
        <v>1</v>
      </c>
      <c r="Q9" s="7">
        <v>1</v>
      </c>
      <c r="R9" s="7">
        <v>1</v>
      </c>
      <c r="S9" s="7"/>
      <c r="T9" s="8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9">
        <f t="shared" si="0"/>
        <v>6</v>
      </c>
      <c r="AI9" s="9">
        <v>8</v>
      </c>
      <c r="AJ9" s="38">
        <v>26400</v>
      </c>
      <c r="AK9" s="44">
        <f t="shared" ref="AK9:AK13" si="1">AJ9/AI9*AH9</f>
        <v>19800</v>
      </c>
      <c r="AL9" s="12"/>
      <c r="AM9" s="13">
        <v>19800</v>
      </c>
      <c r="AN9" s="43">
        <f t="shared" ref="AN9:AN13" si="2">AK9-AM9</f>
        <v>0</v>
      </c>
    </row>
    <row r="10" spans="1:47" s="13" customFormat="1" ht="30" customHeight="1" x14ac:dyDescent="0.3">
      <c r="A10" s="31" t="s">
        <v>26</v>
      </c>
      <c r="B10" s="29" t="s">
        <v>19</v>
      </c>
      <c r="C10" s="14"/>
      <c r="D10" s="7"/>
      <c r="E10" s="7"/>
      <c r="F10" s="7"/>
      <c r="G10" s="7"/>
      <c r="H10" s="7"/>
      <c r="I10" s="7"/>
      <c r="J10" s="7"/>
      <c r="K10" s="7">
        <v>1</v>
      </c>
      <c r="L10" s="7">
        <v>1</v>
      </c>
      <c r="M10" s="7"/>
      <c r="N10" s="7"/>
      <c r="O10" s="7"/>
      <c r="P10" s="7"/>
      <c r="Q10" s="7"/>
      <c r="R10" s="7">
        <v>1</v>
      </c>
      <c r="S10" s="7"/>
      <c r="T10" s="8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9">
        <f t="shared" si="0"/>
        <v>3</v>
      </c>
      <c r="AI10" s="9">
        <v>10</v>
      </c>
      <c r="AJ10" s="38">
        <v>20000</v>
      </c>
      <c r="AK10" s="44">
        <f t="shared" si="1"/>
        <v>6000</v>
      </c>
      <c r="AL10" s="12"/>
      <c r="AM10" s="13">
        <v>6000</v>
      </c>
      <c r="AN10" s="43">
        <f t="shared" si="2"/>
        <v>0</v>
      </c>
    </row>
    <row r="11" spans="1:47" s="13" customFormat="1" ht="30" customHeight="1" x14ac:dyDescent="0.3">
      <c r="A11" s="31" t="s">
        <v>27</v>
      </c>
      <c r="B11" s="29" t="s">
        <v>20</v>
      </c>
      <c r="C11" s="41">
        <v>1</v>
      </c>
      <c r="D11" s="36"/>
      <c r="E11" s="36"/>
      <c r="F11" s="36"/>
      <c r="G11" s="36"/>
      <c r="H11" s="36"/>
      <c r="I11" s="41">
        <v>1</v>
      </c>
      <c r="J11" s="41">
        <v>1</v>
      </c>
      <c r="K11" s="36"/>
      <c r="L11" s="36"/>
      <c r="M11" s="36"/>
      <c r="N11" s="36"/>
      <c r="O11" s="36"/>
      <c r="P11" s="41">
        <v>1</v>
      </c>
      <c r="Q11" s="41">
        <v>1</v>
      </c>
      <c r="R11" s="36"/>
      <c r="S11" s="36"/>
      <c r="T11" s="36"/>
      <c r="U11" s="36"/>
      <c r="V11" s="36"/>
      <c r="W11" s="41"/>
      <c r="X11" s="41"/>
      <c r="Y11" s="36"/>
      <c r="Z11" s="36"/>
      <c r="AA11" s="36"/>
      <c r="AB11" s="36"/>
      <c r="AC11" s="36"/>
      <c r="AD11" s="41"/>
      <c r="AE11" s="41"/>
      <c r="AF11" s="36"/>
      <c r="AG11" s="36"/>
      <c r="AH11" s="9">
        <f t="shared" si="0"/>
        <v>5</v>
      </c>
      <c r="AI11" s="9">
        <v>10</v>
      </c>
      <c r="AJ11" s="38">
        <v>20000</v>
      </c>
      <c r="AK11" s="44">
        <f t="shared" si="1"/>
        <v>10000</v>
      </c>
      <c r="AL11" s="16"/>
      <c r="AM11" s="13">
        <v>10000</v>
      </c>
      <c r="AN11" s="43">
        <f t="shared" si="2"/>
        <v>0</v>
      </c>
      <c r="AO11" s="15"/>
      <c r="AP11" s="15"/>
      <c r="AQ11" s="15"/>
      <c r="AR11" s="15"/>
      <c r="AS11" s="15"/>
      <c r="AT11" s="15"/>
      <c r="AU11" s="15"/>
    </row>
    <row r="12" spans="1:47" ht="30" customHeight="1" x14ac:dyDescent="0.3">
      <c r="A12" s="31" t="s">
        <v>28</v>
      </c>
      <c r="B12" s="29" t="s">
        <v>21</v>
      </c>
      <c r="C12" s="36"/>
      <c r="D12" s="41"/>
      <c r="E12" s="36"/>
      <c r="F12" s="36"/>
      <c r="G12" s="36"/>
      <c r="H12" s="41"/>
      <c r="I12" s="41">
        <v>1</v>
      </c>
      <c r="J12" s="36"/>
      <c r="K12" s="41">
        <v>1</v>
      </c>
      <c r="L12" s="36"/>
      <c r="M12" s="36"/>
      <c r="N12" s="36"/>
      <c r="O12" s="41">
        <v>1</v>
      </c>
      <c r="P12" s="41">
        <v>1</v>
      </c>
      <c r="Q12" s="36"/>
      <c r="R12" s="41">
        <v>1</v>
      </c>
      <c r="S12" s="36"/>
      <c r="T12" s="36"/>
      <c r="U12" s="36"/>
      <c r="V12" s="41"/>
      <c r="W12" s="41"/>
      <c r="X12" s="36"/>
      <c r="Y12" s="41"/>
      <c r="Z12" s="36"/>
      <c r="AA12" s="36"/>
      <c r="AB12" s="36"/>
      <c r="AC12" s="41"/>
      <c r="AD12" s="41"/>
      <c r="AE12" s="36"/>
      <c r="AF12" s="41"/>
      <c r="AG12" s="36"/>
      <c r="AH12" s="9">
        <f t="shared" si="0"/>
        <v>5</v>
      </c>
      <c r="AI12" s="9">
        <v>13</v>
      </c>
      <c r="AJ12" s="39">
        <v>42000</v>
      </c>
      <c r="AK12" s="44">
        <f t="shared" si="1"/>
        <v>16153.846153846154</v>
      </c>
      <c r="AL12" s="9"/>
      <c r="AM12" s="15">
        <v>17500</v>
      </c>
      <c r="AN12" s="43">
        <f t="shared" si="2"/>
        <v>-1346.1538461538457</v>
      </c>
      <c r="AO12" s="19"/>
      <c r="AP12" s="20"/>
      <c r="AQ12" s="20"/>
      <c r="AR12" s="20"/>
      <c r="AS12" s="20"/>
      <c r="AT12" s="20"/>
      <c r="AU12" s="20"/>
    </row>
    <row r="13" spans="1:47" ht="30" customHeight="1" x14ac:dyDescent="0.3">
      <c r="A13" s="31" t="s">
        <v>29</v>
      </c>
      <c r="B13" s="29" t="s">
        <v>22</v>
      </c>
      <c r="C13" s="41">
        <v>1</v>
      </c>
      <c r="D13" s="41"/>
      <c r="E13" s="36"/>
      <c r="F13" s="36"/>
      <c r="G13" s="36"/>
      <c r="H13" s="36"/>
      <c r="I13" s="36"/>
      <c r="J13" s="41">
        <v>1</v>
      </c>
      <c r="K13" s="41"/>
      <c r="L13" s="36"/>
      <c r="M13" s="36"/>
      <c r="N13" s="36"/>
      <c r="O13" s="36">
        <v>1</v>
      </c>
      <c r="P13" s="36"/>
      <c r="Q13" s="41"/>
      <c r="R13" s="41">
        <v>1</v>
      </c>
      <c r="S13" s="36"/>
      <c r="T13" s="36"/>
      <c r="U13" s="36"/>
      <c r="V13" s="36"/>
      <c r="W13" s="36"/>
      <c r="X13" s="41"/>
      <c r="Y13" s="41"/>
      <c r="Z13" s="36"/>
      <c r="AA13" s="36"/>
      <c r="AB13" s="36"/>
      <c r="AC13" s="36"/>
      <c r="AD13" s="36"/>
      <c r="AE13" s="41"/>
      <c r="AF13" s="41"/>
      <c r="AG13" s="36"/>
      <c r="AH13" s="9">
        <f t="shared" si="0"/>
        <v>4</v>
      </c>
      <c r="AI13" s="9">
        <v>10</v>
      </c>
      <c r="AJ13" s="38">
        <v>26400</v>
      </c>
      <c r="AK13" s="44">
        <f t="shared" si="1"/>
        <v>10560</v>
      </c>
      <c r="AL13" s="9"/>
      <c r="AM13" s="15">
        <v>10560</v>
      </c>
      <c r="AN13" s="43">
        <f t="shared" si="2"/>
        <v>0</v>
      </c>
      <c r="AO13" s="19"/>
      <c r="AP13" s="20"/>
      <c r="AQ13" s="20"/>
      <c r="AR13" s="20"/>
      <c r="AS13" s="20"/>
      <c r="AT13" s="20"/>
      <c r="AU13" s="20"/>
    </row>
    <row r="14" spans="1:47" ht="34.5" customHeight="1" x14ac:dyDescent="0.3">
      <c r="B14" s="97" t="s">
        <v>50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98"/>
      <c r="AI14" s="98"/>
      <c r="AJ14" s="99"/>
      <c r="AK14" s="35">
        <f>SUM(AK8:AK13)</f>
        <v>116085.27472527472</v>
      </c>
      <c r="AL14" s="12"/>
    </row>
    <row r="17" spans="2:38" ht="18" x14ac:dyDescent="0.3">
      <c r="B17" s="103" t="s">
        <v>51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</row>
    <row r="18" spans="2:38" ht="28.8" x14ac:dyDescent="0.3">
      <c r="B18" s="37" t="s">
        <v>41</v>
      </c>
    </row>
    <row r="19" spans="2:38" ht="28.8" x14ac:dyDescent="0.3">
      <c r="B19" s="37" t="s">
        <v>42</v>
      </c>
      <c r="C19" s="20"/>
    </row>
    <row r="20" spans="2:38" ht="28.8" x14ac:dyDescent="0.3">
      <c r="B20" s="37" t="s">
        <v>43</v>
      </c>
      <c r="C20" s="20"/>
      <c r="AL20" s="100"/>
    </row>
    <row r="21" spans="2:38" x14ac:dyDescent="0.3">
      <c r="B21" s="37" t="s">
        <v>44</v>
      </c>
      <c r="AL21" s="100"/>
    </row>
    <row r="22" spans="2:38" ht="41.25" customHeight="1" x14ac:dyDescent="0.3">
      <c r="B22" s="37" t="s">
        <v>45</v>
      </c>
      <c r="AL22" s="100"/>
    </row>
    <row r="23" spans="2:38" hidden="1" x14ac:dyDescent="0.3"/>
    <row r="39" spans="7:7" x14ac:dyDescent="0.3">
      <c r="G39" t="s">
        <v>15</v>
      </c>
    </row>
  </sheetData>
  <mergeCells count="15">
    <mergeCell ref="AM5:AM6"/>
    <mergeCell ref="AN5:AN6"/>
    <mergeCell ref="B14:AJ14"/>
    <mergeCell ref="AL20:AL22"/>
    <mergeCell ref="B1:AK1"/>
    <mergeCell ref="B2:AK2"/>
    <mergeCell ref="B3:AK3"/>
    <mergeCell ref="B4:AL4"/>
    <mergeCell ref="C5:AG5"/>
    <mergeCell ref="AH5:AH6"/>
    <mergeCell ref="AI5:AI6"/>
    <mergeCell ref="AJ5:AJ6"/>
    <mergeCell ref="AK5:AK6"/>
    <mergeCell ref="AL5:AL6"/>
    <mergeCell ref="B17:AL17"/>
  </mergeCells>
  <printOptions horizontalCentered="1" verticalCentered="1"/>
  <pageMargins left="0.25" right="0.15" top="0.57999999999999996" bottom="0.14000000000000001" header="0.15" footer="0.14000000000000001"/>
  <pageSetup paperSize="9" scale="68" orientation="landscape" r:id="rId1"/>
  <rowBreaks count="1" manualBreakCount="1">
    <brk id="22" max="3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4C3F-02C3-41D6-9E42-13082D1F016D}">
  <dimension ref="A1:AV37"/>
  <sheetViews>
    <sheetView view="pageBreakPreview" zoomScaleSheetLayoutView="100" workbookViewId="0">
      <selection activeCell="J6" sqref="J6"/>
    </sheetView>
  </sheetViews>
  <sheetFormatPr defaultRowHeight="14.4" x14ac:dyDescent="0.3"/>
  <cols>
    <col min="2" max="2" width="31.6640625" style="23" bestFit="1" customWidth="1"/>
    <col min="3" max="26" width="3.33203125" customWidth="1"/>
    <col min="27" max="27" width="7.109375" customWidth="1"/>
    <col min="28" max="28" width="8.6640625" customWidth="1"/>
    <col min="29" max="29" width="6.6640625" customWidth="1"/>
    <col min="30" max="30" width="7.5546875" customWidth="1"/>
    <col min="31" max="31" width="0.88671875" customWidth="1"/>
    <col min="32" max="32" width="9.88671875" customWidth="1"/>
    <col min="33" max="33" width="0.88671875" customWidth="1"/>
    <col min="34" max="34" width="9.88671875" customWidth="1"/>
    <col min="35" max="35" width="0.88671875" customWidth="1"/>
    <col min="36" max="36" width="9.109375" style="24" customWidth="1"/>
    <col min="37" max="37" width="0.88671875" style="24" customWidth="1"/>
    <col min="38" max="38" width="9.44140625" customWidth="1"/>
    <col min="39" max="39" width="14.109375" customWidth="1"/>
  </cols>
  <sheetData>
    <row r="1" spans="1:48" ht="17.399999999999999" x14ac:dyDescent="0.3"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</row>
    <row r="2" spans="1:48" ht="15.6" x14ac:dyDescent="0.3">
      <c r="B2" s="117" t="s">
        <v>1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</row>
    <row r="3" spans="1:48" ht="15.6" x14ac:dyDescent="0.3">
      <c r="B3" s="118" t="s">
        <v>2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</row>
    <row r="4" spans="1:48" ht="15.6" x14ac:dyDescent="0.3">
      <c r="B4" s="119" t="s">
        <v>32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</row>
    <row r="5" spans="1:48" ht="40.5" customHeight="1" x14ac:dyDescent="0.3">
      <c r="A5" s="32" t="s">
        <v>30</v>
      </c>
      <c r="B5" s="1" t="s">
        <v>3</v>
      </c>
      <c r="C5" s="105" t="s">
        <v>4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2" t="s">
        <v>5</v>
      </c>
      <c r="AB5" s="2" t="s">
        <v>6</v>
      </c>
      <c r="AC5" s="2" t="s">
        <v>7</v>
      </c>
      <c r="AD5" s="2" t="s">
        <v>8</v>
      </c>
      <c r="AE5" s="3"/>
      <c r="AF5" s="2" t="s">
        <v>9</v>
      </c>
      <c r="AG5" s="4"/>
      <c r="AH5" s="5" t="s">
        <v>10</v>
      </c>
      <c r="AI5" s="4"/>
      <c r="AJ5" s="2" t="s">
        <v>11</v>
      </c>
      <c r="AK5" s="3"/>
      <c r="AL5" s="6" t="s">
        <v>12</v>
      </c>
      <c r="AM5" s="2" t="s">
        <v>13</v>
      </c>
    </row>
    <row r="6" spans="1:48" s="13" customFormat="1" ht="30" customHeight="1" x14ac:dyDescent="0.3">
      <c r="A6" s="30" t="s">
        <v>24</v>
      </c>
      <c r="B6" s="29" t="s">
        <v>17</v>
      </c>
      <c r="C6" s="14">
        <v>6</v>
      </c>
      <c r="D6" s="7">
        <v>11</v>
      </c>
      <c r="E6" s="7">
        <v>12</v>
      </c>
      <c r="F6" s="7">
        <v>13</v>
      </c>
      <c r="G6" s="7">
        <v>18</v>
      </c>
      <c r="H6" s="7">
        <v>19</v>
      </c>
      <c r="I6" s="7">
        <v>20</v>
      </c>
      <c r="J6" s="7">
        <v>25</v>
      </c>
      <c r="K6" s="7"/>
      <c r="L6" s="7"/>
      <c r="M6" s="7"/>
      <c r="N6" s="7"/>
      <c r="O6" s="7"/>
      <c r="P6" s="7"/>
      <c r="Q6" s="7"/>
      <c r="R6" s="7"/>
      <c r="S6" s="7"/>
      <c r="T6" s="8"/>
      <c r="U6" s="7"/>
      <c r="V6" s="7"/>
      <c r="W6" s="7"/>
      <c r="X6" s="7"/>
      <c r="Y6" s="7"/>
      <c r="Z6" s="7"/>
      <c r="AA6" s="9">
        <f>COUNT(C6:Z6)</f>
        <v>8</v>
      </c>
      <c r="AB6" s="9">
        <v>6</v>
      </c>
      <c r="AC6" s="9">
        <f>ROUND(AA6*AB6,0)</f>
        <v>48</v>
      </c>
      <c r="AD6" s="9">
        <v>500</v>
      </c>
      <c r="AE6" s="9"/>
      <c r="AF6" s="10">
        <f t="shared" ref="AF6:AF11" si="0">ROUND(AC6*AD6,0)</f>
        <v>24000</v>
      </c>
      <c r="AG6" s="9"/>
      <c r="AH6" s="9">
        <v>300</v>
      </c>
      <c r="AI6" s="9"/>
      <c r="AJ6" s="10">
        <f t="shared" ref="AJ6:AJ11" si="1">SUM(AA6*AH6)</f>
        <v>2400</v>
      </c>
      <c r="AK6" s="9"/>
      <c r="AL6" s="11">
        <f>+AF6+AJ6</f>
        <v>26400</v>
      </c>
      <c r="AM6" s="12"/>
    </row>
    <row r="7" spans="1:48" s="13" customFormat="1" ht="30" customHeight="1" x14ac:dyDescent="0.3">
      <c r="A7" s="31" t="s">
        <v>25</v>
      </c>
      <c r="B7" s="29" t="s">
        <v>18</v>
      </c>
      <c r="C7" s="14">
        <v>6</v>
      </c>
      <c r="D7" s="7">
        <v>11</v>
      </c>
      <c r="E7" s="7">
        <v>14</v>
      </c>
      <c r="F7" s="7">
        <v>18</v>
      </c>
      <c r="G7" s="7">
        <v>19</v>
      </c>
      <c r="H7" s="7">
        <v>20</v>
      </c>
      <c r="I7" s="7">
        <v>24</v>
      </c>
      <c r="J7" s="7">
        <v>25</v>
      </c>
      <c r="K7" s="7">
        <v>27</v>
      </c>
      <c r="L7" s="7"/>
      <c r="M7" s="7"/>
      <c r="N7" s="7"/>
      <c r="O7" s="7"/>
      <c r="P7" s="7"/>
      <c r="Q7" s="7"/>
      <c r="R7" s="7"/>
      <c r="S7" s="7"/>
      <c r="T7" s="8"/>
      <c r="U7" s="7"/>
      <c r="V7" s="7"/>
      <c r="W7" s="7"/>
      <c r="X7" s="7"/>
      <c r="Y7" s="7"/>
      <c r="Z7" s="7"/>
      <c r="AA7" s="9">
        <f>COUNT(C7:Z7)</f>
        <v>9</v>
      </c>
      <c r="AB7" s="9">
        <v>6</v>
      </c>
      <c r="AC7" s="9">
        <f t="shared" ref="AC7:AC11" si="2">ROUND(AA7*AB7,0)</f>
        <v>54</v>
      </c>
      <c r="AD7" s="9">
        <v>500</v>
      </c>
      <c r="AE7" s="9"/>
      <c r="AF7" s="10">
        <f t="shared" si="0"/>
        <v>27000</v>
      </c>
      <c r="AG7" s="9"/>
      <c r="AH7" s="9">
        <v>300</v>
      </c>
      <c r="AI7" s="9"/>
      <c r="AJ7" s="10">
        <f t="shared" si="1"/>
        <v>2700</v>
      </c>
      <c r="AK7" s="9"/>
      <c r="AL7" s="11">
        <f t="shared" ref="AL7:AL11" si="3">+AF7+AJ7</f>
        <v>29700</v>
      </c>
      <c r="AM7" s="12"/>
    </row>
    <row r="8" spans="1:48" s="13" customFormat="1" ht="30" customHeight="1" x14ac:dyDescent="0.3">
      <c r="A8" s="31" t="s">
        <v>26</v>
      </c>
      <c r="B8" s="29" t="s">
        <v>19</v>
      </c>
      <c r="C8" s="14">
        <v>21</v>
      </c>
      <c r="D8" s="7">
        <v>28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7"/>
      <c r="V8" s="7"/>
      <c r="W8" s="7"/>
      <c r="X8" s="7"/>
      <c r="Y8" s="7"/>
      <c r="Z8" s="7"/>
      <c r="AA8" s="9">
        <f t="shared" ref="AA8:AA9" si="4">COUNT(C8:Z8)</f>
        <v>2</v>
      </c>
      <c r="AB8" s="9">
        <v>6</v>
      </c>
      <c r="AC8" s="9">
        <f t="shared" si="2"/>
        <v>12</v>
      </c>
      <c r="AD8" s="9">
        <v>300</v>
      </c>
      <c r="AE8" s="9"/>
      <c r="AF8" s="10">
        <f t="shared" si="0"/>
        <v>3600</v>
      </c>
      <c r="AG8" s="9"/>
      <c r="AH8" s="9">
        <v>300</v>
      </c>
      <c r="AI8" s="9"/>
      <c r="AJ8" s="10">
        <f t="shared" si="1"/>
        <v>600</v>
      </c>
      <c r="AK8" s="9"/>
      <c r="AL8" s="11">
        <f t="shared" si="3"/>
        <v>4200</v>
      </c>
      <c r="AM8" s="12"/>
      <c r="AN8" s="15"/>
      <c r="AO8" s="15"/>
    </row>
    <row r="9" spans="1:48" s="13" customFormat="1" ht="30" customHeight="1" x14ac:dyDescent="0.3">
      <c r="A9" s="31" t="s">
        <v>27</v>
      </c>
      <c r="B9" s="29" t="s">
        <v>20</v>
      </c>
      <c r="C9" s="14">
        <v>4</v>
      </c>
      <c r="D9" s="7">
        <v>18</v>
      </c>
      <c r="E9" s="7">
        <v>19</v>
      </c>
      <c r="F9" s="7">
        <v>25</v>
      </c>
      <c r="G9" s="7">
        <v>26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8"/>
      <c r="U9" s="7"/>
      <c r="V9" s="7"/>
      <c r="W9" s="7"/>
      <c r="X9" s="7"/>
      <c r="Y9" s="7"/>
      <c r="Z9" s="7"/>
      <c r="AA9" s="9">
        <f t="shared" si="4"/>
        <v>5</v>
      </c>
      <c r="AB9" s="9">
        <v>6</v>
      </c>
      <c r="AC9" s="9">
        <f t="shared" si="2"/>
        <v>30</v>
      </c>
      <c r="AD9" s="9">
        <v>400</v>
      </c>
      <c r="AE9" s="9"/>
      <c r="AF9" s="10">
        <f t="shared" si="0"/>
        <v>12000</v>
      </c>
      <c r="AG9" s="9"/>
      <c r="AH9" s="9">
        <v>300</v>
      </c>
      <c r="AI9" s="9"/>
      <c r="AJ9" s="10">
        <f t="shared" si="1"/>
        <v>1500</v>
      </c>
      <c r="AK9" s="9"/>
      <c r="AL9" s="11">
        <f t="shared" si="3"/>
        <v>13500</v>
      </c>
      <c r="AM9" s="16"/>
      <c r="AN9" s="15"/>
      <c r="AO9" s="15"/>
      <c r="AP9" s="15"/>
      <c r="AQ9" s="15"/>
      <c r="AR9" s="15"/>
      <c r="AS9" s="15"/>
      <c r="AT9" s="15"/>
      <c r="AU9" s="15"/>
      <c r="AV9" s="15"/>
    </row>
    <row r="10" spans="1:48" ht="30" customHeight="1" x14ac:dyDescent="0.3">
      <c r="A10" s="31" t="s">
        <v>28</v>
      </c>
      <c r="B10" s="29" t="s">
        <v>21</v>
      </c>
      <c r="C10" s="14">
        <v>6</v>
      </c>
      <c r="D10" s="7">
        <v>10</v>
      </c>
      <c r="E10" s="7">
        <v>11</v>
      </c>
      <c r="F10" s="7">
        <v>13</v>
      </c>
      <c r="G10" s="7">
        <v>17</v>
      </c>
      <c r="H10" s="7">
        <v>18</v>
      </c>
      <c r="I10" s="7">
        <v>21</v>
      </c>
      <c r="J10" s="7">
        <v>24</v>
      </c>
      <c r="K10" s="7">
        <v>25</v>
      </c>
      <c r="L10" s="7">
        <v>27</v>
      </c>
      <c r="M10" s="7"/>
      <c r="N10" s="7"/>
      <c r="O10" s="7"/>
      <c r="P10" s="7"/>
      <c r="Q10" s="7"/>
      <c r="R10" s="7"/>
      <c r="S10" s="7"/>
      <c r="T10" s="8"/>
      <c r="U10" s="7"/>
      <c r="V10" s="7"/>
      <c r="W10" s="7"/>
      <c r="X10" s="7"/>
      <c r="Y10" s="7"/>
      <c r="Z10" s="7"/>
      <c r="AA10" s="9">
        <f>COUNT(C10:Z10)</f>
        <v>10</v>
      </c>
      <c r="AB10" s="9">
        <v>6</v>
      </c>
      <c r="AC10" s="9">
        <f t="shared" si="2"/>
        <v>60</v>
      </c>
      <c r="AD10" s="9">
        <v>500</v>
      </c>
      <c r="AE10" s="9">
        <f>COUNT(C10:AD10)</f>
        <v>14</v>
      </c>
      <c r="AF10" s="10">
        <f t="shared" si="0"/>
        <v>30000</v>
      </c>
      <c r="AG10" s="9"/>
      <c r="AH10" s="9">
        <v>300</v>
      </c>
      <c r="AI10" s="9"/>
      <c r="AJ10" s="10">
        <f t="shared" si="1"/>
        <v>3000</v>
      </c>
      <c r="AK10" s="9"/>
      <c r="AL10" s="11">
        <f t="shared" si="3"/>
        <v>33000</v>
      </c>
      <c r="AM10" s="9"/>
      <c r="AN10" s="17"/>
      <c r="AO10" s="18"/>
      <c r="AP10" s="19"/>
      <c r="AQ10" s="20"/>
      <c r="AR10" s="20"/>
      <c r="AS10" s="20"/>
      <c r="AT10" s="20"/>
      <c r="AU10" s="20"/>
      <c r="AV10" s="20"/>
    </row>
    <row r="11" spans="1:48" ht="30" customHeight="1" x14ac:dyDescent="0.3">
      <c r="A11" s="31" t="s">
        <v>29</v>
      </c>
      <c r="B11" s="29" t="s">
        <v>22</v>
      </c>
      <c r="C11" s="14">
        <v>6</v>
      </c>
      <c r="D11" s="7">
        <v>20</v>
      </c>
      <c r="E11" s="7">
        <v>26</v>
      </c>
      <c r="F11" s="7">
        <v>27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8"/>
      <c r="U11" s="7"/>
      <c r="V11" s="7"/>
      <c r="W11" s="7"/>
      <c r="X11" s="7"/>
      <c r="Y11" s="7"/>
      <c r="Z11" s="7"/>
      <c r="AA11" s="9">
        <f>COUNT(C11:Z11)</f>
        <v>4</v>
      </c>
      <c r="AB11" s="9">
        <v>6</v>
      </c>
      <c r="AC11" s="9">
        <f t="shared" si="2"/>
        <v>24</v>
      </c>
      <c r="AD11" s="9">
        <v>500</v>
      </c>
      <c r="AE11" s="9">
        <f>COUNT(C11:AD11)</f>
        <v>8</v>
      </c>
      <c r="AF11" s="10">
        <f t="shared" si="0"/>
        <v>12000</v>
      </c>
      <c r="AG11" s="9"/>
      <c r="AH11" s="9">
        <v>300</v>
      </c>
      <c r="AI11" s="9"/>
      <c r="AJ11" s="10">
        <f t="shared" si="1"/>
        <v>1200</v>
      </c>
      <c r="AK11" s="9"/>
      <c r="AL11" s="11">
        <f t="shared" si="3"/>
        <v>13200</v>
      </c>
      <c r="AM11" s="9"/>
      <c r="AN11" s="17"/>
      <c r="AO11" s="18"/>
      <c r="AP11" s="19"/>
      <c r="AQ11" s="20"/>
      <c r="AR11" s="20"/>
      <c r="AS11" s="20"/>
      <c r="AT11" s="20"/>
      <c r="AU11" s="20"/>
      <c r="AV11" s="20"/>
    </row>
    <row r="12" spans="1:48" ht="34.5" customHeight="1" x14ac:dyDescent="0.3">
      <c r="B12" s="97" t="s">
        <v>16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98"/>
      <c r="AB12" s="98"/>
      <c r="AC12" s="98"/>
      <c r="AD12" s="99"/>
      <c r="AE12" s="33"/>
      <c r="AF12" s="120">
        <f>SUM(AF6:AF11)</f>
        <v>108600</v>
      </c>
      <c r="AG12" s="121"/>
      <c r="AH12" s="122"/>
      <c r="AI12" s="34"/>
      <c r="AJ12" s="21">
        <f>SUM(AJ6:AJ11)</f>
        <v>11400</v>
      </c>
      <c r="AK12" s="21"/>
      <c r="AL12" s="22">
        <f>SUM(AL6:AL11)</f>
        <v>120000</v>
      </c>
      <c r="AM12" s="12"/>
      <c r="AN12" s="20"/>
      <c r="AO12" s="20"/>
    </row>
    <row r="17" spans="2:39" x14ac:dyDescent="0.3">
      <c r="C17" s="20"/>
    </row>
    <row r="18" spans="2:39" ht="15" customHeight="1" x14ac:dyDescent="0.3">
      <c r="B18"/>
      <c r="C18" s="20"/>
      <c r="AH18" s="100" t="s">
        <v>14</v>
      </c>
      <c r="AI18" s="100"/>
      <c r="AJ18" s="100"/>
      <c r="AK18" s="100"/>
      <c r="AL18" s="100"/>
      <c r="AM18" s="100"/>
    </row>
    <row r="19" spans="2:39" x14ac:dyDescent="0.3">
      <c r="AH19" s="100"/>
      <c r="AI19" s="100"/>
      <c r="AJ19" s="100"/>
      <c r="AK19" s="100"/>
      <c r="AL19" s="100"/>
      <c r="AM19" s="100"/>
    </row>
    <row r="20" spans="2:39" ht="41.25" customHeight="1" x14ac:dyDescent="0.3">
      <c r="AH20" s="100"/>
      <c r="AI20" s="100"/>
      <c r="AJ20" s="100"/>
      <c r="AK20" s="100"/>
      <c r="AL20" s="100"/>
      <c r="AM20" s="100"/>
    </row>
    <row r="21" spans="2:39" hidden="1" x14ac:dyDescent="0.3"/>
    <row r="37" spans="7:7" x14ac:dyDescent="0.3">
      <c r="G37" t="s">
        <v>15</v>
      </c>
    </row>
  </sheetData>
  <mergeCells count="8">
    <mergeCell ref="AH18:AM20"/>
    <mergeCell ref="B1:AL1"/>
    <mergeCell ref="B2:AL2"/>
    <mergeCell ref="B3:AL3"/>
    <mergeCell ref="B4:AM4"/>
    <mergeCell ref="C5:Z5"/>
    <mergeCell ref="B12:AD12"/>
    <mergeCell ref="AF12:AH12"/>
  </mergeCells>
  <printOptions horizontalCentered="1" verticalCentered="1"/>
  <pageMargins left="0.25" right="0.15" top="0.57999999999999996" bottom="0.14000000000000001" header="0.15" footer="0.14000000000000001"/>
  <pageSetup paperSize="9" scale="76" orientation="landscape" r:id="rId1"/>
  <rowBreaks count="1" manualBreakCount="1">
    <brk id="20" max="3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9AFB-F7D4-4604-AC6F-FDD8C9DCC60A}">
  <dimension ref="A1:AV37"/>
  <sheetViews>
    <sheetView view="pageBreakPreview" topLeftCell="A10" zoomScaleSheetLayoutView="100" workbookViewId="0">
      <selection activeCell="AH18" sqref="AH18:AM20"/>
    </sheetView>
  </sheetViews>
  <sheetFormatPr defaultRowHeight="14.4" x14ac:dyDescent="0.3"/>
  <cols>
    <col min="2" max="2" width="31.6640625" style="23" bestFit="1" customWidth="1"/>
    <col min="3" max="26" width="3.33203125" customWidth="1"/>
    <col min="27" max="27" width="7.109375" customWidth="1"/>
    <col min="28" max="28" width="8.6640625" customWidth="1"/>
    <col min="29" max="29" width="6.6640625" customWidth="1"/>
    <col min="30" max="30" width="7.5546875" customWidth="1"/>
    <col min="31" max="31" width="0.88671875" customWidth="1"/>
    <col min="32" max="32" width="9.88671875" customWidth="1"/>
    <col min="33" max="33" width="0.88671875" customWidth="1"/>
    <col min="34" max="34" width="9.88671875" customWidth="1"/>
    <col min="35" max="35" width="0.88671875" customWidth="1"/>
    <col min="36" max="36" width="9.109375" style="24" customWidth="1"/>
    <col min="37" max="37" width="0.88671875" style="24" customWidth="1"/>
    <col min="38" max="38" width="9.44140625" customWidth="1"/>
    <col min="39" max="39" width="14.109375" customWidth="1"/>
  </cols>
  <sheetData>
    <row r="1" spans="1:48" ht="17.399999999999999" x14ac:dyDescent="0.3"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</row>
    <row r="2" spans="1:48" ht="15.6" x14ac:dyDescent="0.3">
      <c r="B2" s="117" t="s">
        <v>1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</row>
    <row r="3" spans="1:48" ht="15.6" x14ac:dyDescent="0.3">
      <c r="B3" s="118" t="s">
        <v>2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</row>
    <row r="4" spans="1:48" ht="15.6" x14ac:dyDescent="0.3">
      <c r="B4" s="119" t="s">
        <v>31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</row>
    <row r="5" spans="1:48" ht="40.5" customHeight="1" x14ac:dyDescent="0.3">
      <c r="A5" s="32" t="s">
        <v>30</v>
      </c>
      <c r="B5" s="1" t="s">
        <v>3</v>
      </c>
      <c r="C5" s="105" t="s">
        <v>4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2" t="s">
        <v>5</v>
      </c>
      <c r="AB5" s="2" t="s">
        <v>6</v>
      </c>
      <c r="AC5" s="2" t="s">
        <v>7</v>
      </c>
      <c r="AD5" s="2" t="s">
        <v>8</v>
      </c>
      <c r="AE5" s="3"/>
      <c r="AF5" s="2" t="s">
        <v>9</v>
      </c>
      <c r="AG5" s="4"/>
      <c r="AH5" s="5" t="s">
        <v>10</v>
      </c>
      <c r="AI5" s="4"/>
      <c r="AJ5" s="2" t="s">
        <v>11</v>
      </c>
      <c r="AK5" s="3"/>
      <c r="AL5" s="6" t="s">
        <v>12</v>
      </c>
      <c r="AM5" s="2" t="s">
        <v>13</v>
      </c>
    </row>
    <row r="6" spans="1:48" s="13" customFormat="1" ht="30" customHeight="1" x14ac:dyDescent="0.3">
      <c r="A6" s="30" t="s">
        <v>24</v>
      </c>
      <c r="B6" s="29" t="s">
        <v>17</v>
      </c>
      <c r="C6" s="14">
        <v>1</v>
      </c>
      <c r="D6" s="7">
        <v>3</v>
      </c>
      <c r="E6" s="7">
        <v>7</v>
      </c>
      <c r="F6" s="7">
        <v>8</v>
      </c>
      <c r="G6" s="7">
        <v>9</v>
      </c>
      <c r="H6" s="7">
        <v>11</v>
      </c>
      <c r="I6" s="7">
        <v>13</v>
      </c>
      <c r="J6" s="7">
        <v>15</v>
      </c>
      <c r="K6" s="7">
        <v>27</v>
      </c>
      <c r="L6" s="7">
        <v>29</v>
      </c>
      <c r="M6" s="7"/>
      <c r="N6" s="7"/>
      <c r="O6" s="7"/>
      <c r="P6" s="7"/>
      <c r="Q6" s="7"/>
      <c r="R6" s="7"/>
      <c r="S6" s="7"/>
      <c r="T6" s="8"/>
      <c r="U6" s="7"/>
      <c r="V6" s="7"/>
      <c r="W6" s="7"/>
      <c r="X6" s="7"/>
      <c r="Y6" s="7"/>
      <c r="Z6" s="7"/>
      <c r="AA6" s="9">
        <f>COUNT(C6:Z6)</f>
        <v>10</v>
      </c>
      <c r="AB6" s="9">
        <v>6</v>
      </c>
      <c r="AC6" s="9">
        <f>ROUND(AA6*AB6,0)</f>
        <v>60</v>
      </c>
      <c r="AD6" s="9">
        <v>500</v>
      </c>
      <c r="AE6" s="9"/>
      <c r="AF6" s="10">
        <f t="shared" ref="AF6:AF11" si="0">ROUND(AC6*AD6,0)</f>
        <v>30000</v>
      </c>
      <c r="AG6" s="9"/>
      <c r="AH6" s="9">
        <v>300</v>
      </c>
      <c r="AI6" s="9"/>
      <c r="AJ6" s="10">
        <f t="shared" ref="AJ6:AJ11" si="1">SUM(AA6*AH6)</f>
        <v>3000</v>
      </c>
      <c r="AK6" s="9"/>
      <c r="AL6" s="11">
        <f>+AF6+AJ6</f>
        <v>33000</v>
      </c>
      <c r="AM6" s="12"/>
    </row>
    <row r="7" spans="1:48" s="13" customFormat="1" ht="30" customHeight="1" x14ac:dyDescent="0.3">
      <c r="A7" s="31" t="s">
        <v>25</v>
      </c>
      <c r="B7" s="29" t="s">
        <v>18</v>
      </c>
      <c r="C7" s="14">
        <v>7</v>
      </c>
      <c r="D7" s="7">
        <v>9</v>
      </c>
      <c r="E7" s="7">
        <v>13</v>
      </c>
      <c r="F7" s="7">
        <v>14</v>
      </c>
      <c r="G7" s="7">
        <v>15</v>
      </c>
      <c r="H7" s="7">
        <v>16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8"/>
      <c r="U7" s="7"/>
      <c r="V7" s="7"/>
      <c r="W7" s="7"/>
      <c r="X7" s="7"/>
      <c r="Y7" s="7"/>
      <c r="Z7" s="7"/>
      <c r="AA7" s="9">
        <f>COUNT(C7:Z7)</f>
        <v>6</v>
      </c>
      <c r="AB7" s="9">
        <v>6</v>
      </c>
      <c r="AC7" s="9">
        <f t="shared" ref="AC7:AC11" si="2">ROUND(AA7*AB7,0)</f>
        <v>36</v>
      </c>
      <c r="AD7" s="9">
        <v>500</v>
      </c>
      <c r="AE7" s="9"/>
      <c r="AF7" s="10">
        <f t="shared" si="0"/>
        <v>18000</v>
      </c>
      <c r="AG7" s="9"/>
      <c r="AH7" s="9">
        <v>300</v>
      </c>
      <c r="AI7" s="9"/>
      <c r="AJ7" s="10">
        <f t="shared" si="1"/>
        <v>1800</v>
      </c>
      <c r="AK7" s="9"/>
      <c r="AL7" s="11">
        <f t="shared" ref="AL7:AL11" si="3">+AF7+AJ7</f>
        <v>19800</v>
      </c>
      <c r="AM7" s="12"/>
    </row>
    <row r="8" spans="1:48" s="13" customFormat="1" ht="30" customHeight="1" x14ac:dyDescent="0.3">
      <c r="A8" s="31" t="s">
        <v>26</v>
      </c>
      <c r="B8" s="29" t="s">
        <v>19</v>
      </c>
      <c r="C8" s="14">
        <v>9</v>
      </c>
      <c r="D8" s="7">
        <v>10</v>
      </c>
      <c r="E8" s="7">
        <v>16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7"/>
      <c r="V8" s="7"/>
      <c r="W8" s="7"/>
      <c r="X8" s="7"/>
      <c r="Y8" s="7"/>
      <c r="Z8" s="7"/>
      <c r="AA8" s="9">
        <f t="shared" ref="AA8:AA9" si="4">COUNT(C8:Z8)</f>
        <v>3</v>
      </c>
      <c r="AB8" s="9">
        <v>6</v>
      </c>
      <c r="AC8" s="9">
        <f t="shared" si="2"/>
        <v>18</v>
      </c>
      <c r="AD8" s="9">
        <v>300</v>
      </c>
      <c r="AE8" s="9"/>
      <c r="AF8" s="10">
        <f t="shared" si="0"/>
        <v>5400</v>
      </c>
      <c r="AG8" s="9"/>
      <c r="AH8" s="9">
        <v>300</v>
      </c>
      <c r="AI8" s="9"/>
      <c r="AJ8" s="10">
        <f t="shared" si="1"/>
        <v>900</v>
      </c>
      <c r="AK8" s="9"/>
      <c r="AL8" s="11">
        <f t="shared" si="3"/>
        <v>6300</v>
      </c>
      <c r="AM8" s="12"/>
      <c r="AN8" s="15"/>
      <c r="AO8" s="15"/>
    </row>
    <row r="9" spans="1:48" s="13" customFormat="1" ht="30" customHeight="1" x14ac:dyDescent="0.3">
      <c r="A9" s="31" t="s">
        <v>27</v>
      </c>
      <c r="B9" s="29" t="s">
        <v>20</v>
      </c>
      <c r="C9" s="14">
        <v>1</v>
      </c>
      <c r="D9" s="7">
        <v>7</v>
      </c>
      <c r="E9" s="7">
        <v>8</v>
      </c>
      <c r="F9" s="7">
        <v>14</v>
      </c>
      <c r="G9" s="7">
        <v>15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8"/>
      <c r="U9" s="7"/>
      <c r="V9" s="7"/>
      <c r="W9" s="7"/>
      <c r="X9" s="7"/>
      <c r="Y9" s="7"/>
      <c r="Z9" s="7"/>
      <c r="AA9" s="9">
        <f t="shared" si="4"/>
        <v>5</v>
      </c>
      <c r="AB9" s="9">
        <v>6</v>
      </c>
      <c r="AC9" s="9">
        <f t="shared" si="2"/>
        <v>30</v>
      </c>
      <c r="AD9" s="9">
        <v>400</v>
      </c>
      <c r="AE9" s="9"/>
      <c r="AF9" s="10">
        <f t="shared" si="0"/>
        <v>12000</v>
      </c>
      <c r="AG9" s="9"/>
      <c r="AH9" s="9">
        <v>300</v>
      </c>
      <c r="AI9" s="9"/>
      <c r="AJ9" s="10">
        <f t="shared" si="1"/>
        <v>1500</v>
      </c>
      <c r="AK9" s="9"/>
      <c r="AL9" s="11">
        <f t="shared" si="3"/>
        <v>13500</v>
      </c>
      <c r="AM9" s="16"/>
      <c r="AN9" s="15"/>
      <c r="AO9" s="15"/>
      <c r="AP9" s="15"/>
      <c r="AQ9" s="15"/>
      <c r="AR9" s="15"/>
      <c r="AS9" s="15"/>
      <c r="AT9" s="15"/>
      <c r="AU9" s="15"/>
      <c r="AV9" s="15"/>
    </row>
    <row r="10" spans="1:48" ht="30" customHeight="1" x14ac:dyDescent="0.3">
      <c r="A10" s="31" t="s">
        <v>28</v>
      </c>
      <c r="B10" s="29" t="s">
        <v>21</v>
      </c>
      <c r="C10" s="14">
        <v>7</v>
      </c>
      <c r="D10" s="7">
        <v>9</v>
      </c>
      <c r="E10" s="7">
        <v>13</v>
      </c>
      <c r="F10" s="7">
        <v>14</v>
      </c>
      <c r="G10" s="7">
        <v>16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/>
      <c r="U10" s="7"/>
      <c r="V10" s="7"/>
      <c r="W10" s="7"/>
      <c r="X10" s="7"/>
      <c r="Y10" s="7"/>
      <c r="Z10" s="7"/>
      <c r="AA10" s="9">
        <f>COUNT(C10:Z10)</f>
        <v>5</v>
      </c>
      <c r="AB10" s="9">
        <v>6</v>
      </c>
      <c r="AC10" s="9">
        <f t="shared" si="2"/>
        <v>30</v>
      </c>
      <c r="AD10" s="9">
        <v>500</v>
      </c>
      <c r="AE10" s="9">
        <f>COUNT(C10:AD10)</f>
        <v>9</v>
      </c>
      <c r="AF10" s="10">
        <f t="shared" si="0"/>
        <v>15000</v>
      </c>
      <c r="AG10" s="9"/>
      <c r="AH10" s="9">
        <v>300</v>
      </c>
      <c r="AI10" s="9"/>
      <c r="AJ10" s="10">
        <f t="shared" si="1"/>
        <v>1500</v>
      </c>
      <c r="AK10" s="9"/>
      <c r="AL10" s="11">
        <f t="shared" si="3"/>
        <v>16500</v>
      </c>
      <c r="AM10" s="9"/>
      <c r="AN10" s="17"/>
      <c r="AO10" s="18"/>
      <c r="AP10" s="19"/>
      <c r="AQ10" s="20"/>
      <c r="AR10" s="20"/>
      <c r="AS10" s="20"/>
      <c r="AT10" s="20"/>
      <c r="AU10" s="20"/>
      <c r="AV10" s="20"/>
    </row>
    <row r="11" spans="1:48" ht="30" customHeight="1" x14ac:dyDescent="0.3">
      <c r="A11" s="31" t="s">
        <v>29</v>
      </c>
      <c r="B11" s="29" t="s">
        <v>22</v>
      </c>
      <c r="C11" s="14">
        <v>1</v>
      </c>
      <c r="D11" s="7">
        <v>8</v>
      </c>
      <c r="E11" s="7">
        <v>13</v>
      </c>
      <c r="F11" s="7">
        <v>16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8"/>
      <c r="U11" s="7"/>
      <c r="V11" s="7"/>
      <c r="W11" s="7"/>
      <c r="X11" s="7"/>
      <c r="Y11" s="7"/>
      <c r="Z11" s="7"/>
      <c r="AA11" s="9">
        <f>COUNT(C11:Z11)</f>
        <v>4</v>
      </c>
      <c r="AB11" s="9">
        <v>6</v>
      </c>
      <c r="AC11" s="9">
        <f t="shared" si="2"/>
        <v>24</v>
      </c>
      <c r="AD11" s="9">
        <v>500</v>
      </c>
      <c r="AE11" s="9">
        <f>COUNT(C11:AD11)</f>
        <v>8</v>
      </c>
      <c r="AF11" s="10">
        <f t="shared" si="0"/>
        <v>12000</v>
      </c>
      <c r="AG11" s="9"/>
      <c r="AH11" s="9">
        <v>300</v>
      </c>
      <c r="AI11" s="9"/>
      <c r="AJ11" s="10">
        <f t="shared" si="1"/>
        <v>1200</v>
      </c>
      <c r="AK11" s="9"/>
      <c r="AL11" s="11">
        <f t="shared" si="3"/>
        <v>13200</v>
      </c>
      <c r="AM11" s="9"/>
      <c r="AN11" s="17"/>
      <c r="AO11" s="18"/>
      <c r="AP11" s="19"/>
      <c r="AQ11" s="20"/>
      <c r="AR11" s="20"/>
      <c r="AS11" s="20"/>
      <c r="AT11" s="20"/>
      <c r="AU11" s="20"/>
      <c r="AV11" s="20"/>
    </row>
    <row r="12" spans="1:48" ht="34.5" customHeight="1" x14ac:dyDescent="0.3">
      <c r="B12" s="97" t="s">
        <v>16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98"/>
      <c r="AB12" s="98"/>
      <c r="AC12" s="98"/>
      <c r="AD12" s="99"/>
      <c r="AE12" s="27"/>
      <c r="AF12" s="120">
        <f>SUM(AF6:AF11)</f>
        <v>92400</v>
      </c>
      <c r="AG12" s="121"/>
      <c r="AH12" s="122"/>
      <c r="AI12" s="28"/>
      <c r="AJ12" s="21">
        <f>SUM(AJ6:AJ11)</f>
        <v>9900</v>
      </c>
      <c r="AK12" s="21"/>
      <c r="AL12" s="22">
        <f>SUM(AL6:AL11)</f>
        <v>102300</v>
      </c>
      <c r="AM12" s="12"/>
      <c r="AN12" s="20"/>
      <c r="AO12" s="20"/>
    </row>
    <row r="17" spans="2:39" x14ac:dyDescent="0.3">
      <c r="C17" s="20"/>
    </row>
    <row r="18" spans="2:39" ht="15" customHeight="1" x14ac:dyDescent="0.3">
      <c r="B18"/>
      <c r="C18" s="20"/>
      <c r="AH18" s="100" t="s">
        <v>14</v>
      </c>
      <c r="AI18" s="100"/>
      <c r="AJ18" s="100"/>
      <c r="AK18" s="100"/>
      <c r="AL18" s="100"/>
      <c r="AM18" s="100"/>
    </row>
    <row r="19" spans="2:39" x14ac:dyDescent="0.3">
      <c r="AH19" s="100"/>
      <c r="AI19" s="100"/>
      <c r="AJ19" s="100"/>
      <c r="AK19" s="100"/>
      <c r="AL19" s="100"/>
      <c r="AM19" s="100"/>
    </row>
    <row r="20" spans="2:39" ht="41.25" customHeight="1" x14ac:dyDescent="0.3">
      <c r="AH20" s="100"/>
      <c r="AI20" s="100"/>
      <c r="AJ20" s="100"/>
      <c r="AK20" s="100"/>
      <c r="AL20" s="100"/>
      <c r="AM20" s="100"/>
    </row>
    <row r="21" spans="2:39" hidden="1" x14ac:dyDescent="0.3"/>
    <row r="37" spans="7:7" x14ac:dyDescent="0.3">
      <c r="G37" t="s">
        <v>15</v>
      </c>
    </row>
  </sheetData>
  <mergeCells count="8">
    <mergeCell ref="AH18:AM20"/>
    <mergeCell ref="B1:AL1"/>
    <mergeCell ref="B2:AL2"/>
    <mergeCell ref="B3:AL3"/>
    <mergeCell ref="B4:AM4"/>
    <mergeCell ref="C5:Z5"/>
    <mergeCell ref="B12:AD12"/>
    <mergeCell ref="AF12:AH12"/>
  </mergeCells>
  <printOptions horizontalCentered="1" verticalCentered="1"/>
  <pageMargins left="0.25" right="0.15" top="0.57999999999999996" bottom="0.14000000000000001" header="0.15" footer="0.14000000000000001"/>
  <pageSetup paperSize="9" scale="76" orientation="landscape" r:id="rId1"/>
  <rowBreaks count="1" manualBreakCount="1">
    <brk id="20" max="3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37"/>
  <sheetViews>
    <sheetView view="pageBreakPreview" zoomScaleSheetLayoutView="100" workbookViewId="0">
      <selection activeCell="C6" sqref="C6"/>
    </sheetView>
  </sheetViews>
  <sheetFormatPr defaultRowHeight="14.4" x14ac:dyDescent="0.3"/>
  <cols>
    <col min="2" max="2" width="31.6640625" style="23" bestFit="1" customWidth="1"/>
    <col min="3" max="26" width="3.33203125" customWidth="1"/>
    <col min="27" max="27" width="7.109375" customWidth="1"/>
    <col min="28" max="28" width="8.6640625" customWidth="1"/>
    <col min="29" max="29" width="6.6640625" customWidth="1"/>
    <col min="30" max="30" width="7.5546875" customWidth="1"/>
    <col min="31" max="31" width="0.88671875" customWidth="1"/>
    <col min="32" max="32" width="9.88671875" customWidth="1"/>
    <col min="33" max="33" width="0.88671875" customWidth="1"/>
    <col min="34" max="34" width="9.88671875" customWidth="1"/>
    <col min="35" max="35" width="0.88671875" customWidth="1"/>
    <col min="36" max="36" width="9.109375" style="24" customWidth="1"/>
    <col min="37" max="37" width="0.88671875" style="24" customWidth="1"/>
    <col min="38" max="38" width="9.44140625" customWidth="1"/>
    <col min="39" max="39" width="14.109375" customWidth="1"/>
  </cols>
  <sheetData>
    <row r="1" spans="1:48" ht="17.399999999999999" x14ac:dyDescent="0.3"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</row>
    <row r="2" spans="1:48" ht="15.6" x14ac:dyDescent="0.3">
      <c r="B2" s="117" t="s">
        <v>1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</row>
    <row r="3" spans="1:48" ht="15.6" x14ac:dyDescent="0.3">
      <c r="B3" s="118" t="s">
        <v>2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</row>
    <row r="4" spans="1:48" ht="15.6" x14ac:dyDescent="0.3">
      <c r="B4" s="119" t="s">
        <v>23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</row>
    <row r="5" spans="1:48" ht="40.5" customHeight="1" x14ac:dyDescent="0.3">
      <c r="A5" s="32" t="s">
        <v>30</v>
      </c>
      <c r="B5" s="1" t="s">
        <v>3</v>
      </c>
      <c r="C5" s="105" t="s">
        <v>4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2" t="s">
        <v>5</v>
      </c>
      <c r="AB5" s="2" t="s">
        <v>6</v>
      </c>
      <c r="AC5" s="2" t="s">
        <v>7</v>
      </c>
      <c r="AD5" s="2" t="s">
        <v>8</v>
      </c>
      <c r="AE5" s="3"/>
      <c r="AF5" s="2" t="s">
        <v>9</v>
      </c>
      <c r="AG5" s="4"/>
      <c r="AH5" s="5" t="s">
        <v>10</v>
      </c>
      <c r="AI5" s="4"/>
      <c r="AJ5" s="2" t="s">
        <v>11</v>
      </c>
      <c r="AK5" s="3"/>
      <c r="AL5" s="6" t="s">
        <v>12</v>
      </c>
      <c r="AM5" s="2" t="s">
        <v>13</v>
      </c>
    </row>
    <row r="6" spans="1:48" s="13" customFormat="1" ht="30" customHeight="1" x14ac:dyDescent="0.3">
      <c r="A6" s="30" t="s">
        <v>24</v>
      </c>
      <c r="B6" s="29" t="s">
        <v>17</v>
      </c>
      <c r="C6" s="14">
        <v>2</v>
      </c>
      <c r="D6" s="7">
        <v>3</v>
      </c>
      <c r="E6" s="7">
        <v>4</v>
      </c>
      <c r="F6" s="7">
        <v>9</v>
      </c>
      <c r="G6" s="7">
        <v>10</v>
      </c>
      <c r="H6" s="7">
        <v>11</v>
      </c>
      <c r="I6" s="7">
        <v>16</v>
      </c>
      <c r="J6" s="7">
        <v>17</v>
      </c>
      <c r="K6" s="7">
        <v>18</v>
      </c>
      <c r="L6" s="7">
        <v>23</v>
      </c>
      <c r="M6" s="7">
        <v>24</v>
      </c>
      <c r="N6" s="7">
        <v>25</v>
      </c>
      <c r="O6" s="7">
        <v>30</v>
      </c>
      <c r="P6" s="7"/>
      <c r="Q6" s="7"/>
      <c r="R6" s="7"/>
      <c r="S6" s="7"/>
      <c r="T6" s="8"/>
      <c r="U6" s="7"/>
      <c r="V6" s="7"/>
      <c r="W6" s="7"/>
      <c r="X6" s="7"/>
      <c r="Y6" s="7"/>
      <c r="Z6" s="7"/>
      <c r="AA6" s="9">
        <f>COUNT(C6:Z6)</f>
        <v>13</v>
      </c>
      <c r="AB6" s="9">
        <v>6</v>
      </c>
      <c r="AC6" s="9">
        <f>ROUND(AA6*AB6,0)</f>
        <v>78</v>
      </c>
      <c r="AD6" s="9">
        <v>500</v>
      </c>
      <c r="AE6" s="9"/>
      <c r="AF6" s="10">
        <f t="shared" ref="AF6:AF11" si="0">ROUND(AC6*AD6,0)</f>
        <v>39000</v>
      </c>
      <c r="AG6" s="9"/>
      <c r="AH6" s="9">
        <v>300</v>
      </c>
      <c r="AI6" s="9"/>
      <c r="AJ6" s="10">
        <f t="shared" ref="AJ6:AJ11" si="1">SUM(AA6*AH6)</f>
        <v>3900</v>
      </c>
      <c r="AK6" s="9"/>
      <c r="AL6" s="11">
        <f>+AF6+AJ6</f>
        <v>42900</v>
      </c>
      <c r="AM6" s="12"/>
    </row>
    <row r="7" spans="1:48" s="13" customFormat="1" ht="30" customHeight="1" x14ac:dyDescent="0.3">
      <c r="A7" s="31" t="s">
        <v>25</v>
      </c>
      <c r="B7" s="29" t="s">
        <v>18</v>
      </c>
      <c r="C7" s="14">
        <v>2</v>
      </c>
      <c r="D7" s="7">
        <v>4</v>
      </c>
      <c r="E7" s="7">
        <v>9</v>
      </c>
      <c r="F7" s="7">
        <v>11</v>
      </c>
      <c r="G7" s="7">
        <v>16</v>
      </c>
      <c r="H7" s="7">
        <v>18</v>
      </c>
      <c r="I7" s="7">
        <v>23</v>
      </c>
      <c r="J7" s="7">
        <v>29</v>
      </c>
      <c r="K7" s="7"/>
      <c r="L7" s="7"/>
      <c r="M7" s="7"/>
      <c r="N7" s="7"/>
      <c r="O7" s="7"/>
      <c r="P7" s="7"/>
      <c r="Q7" s="7"/>
      <c r="R7" s="7"/>
      <c r="S7" s="7"/>
      <c r="T7" s="8"/>
      <c r="U7" s="7"/>
      <c r="V7" s="7"/>
      <c r="W7" s="7"/>
      <c r="X7" s="7"/>
      <c r="Y7" s="7"/>
      <c r="Z7" s="7"/>
      <c r="AA7" s="9">
        <f>COUNT(C7:Z7)</f>
        <v>8</v>
      </c>
      <c r="AB7" s="9">
        <v>6</v>
      </c>
      <c r="AC7" s="9">
        <f t="shared" ref="AC7:AC11" si="2">ROUND(AA7*AB7,0)</f>
        <v>48</v>
      </c>
      <c r="AD7" s="9">
        <v>500</v>
      </c>
      <c r="AE7" s="9"/>
      <c r="AF7" s="10">
        <f t="shared" si="0"/>
        <v>24000</v>
      </c>
      <c r="AG7" s="9"/>
      <c r="AH7" s="9">
        <v>300</v>
      </c>
      <c r="AI7" s="9"/>
      <c r="AJ7" s="10">
        <f t="shared" si="1"/>
        <v>2400</v>
      </c>
      <c r="AK7" s="9"/>
      <c r="AL7" s="11">
        <f t="shared" ref="AL7:AL11" si="3">+AF7+AJ7</f>
        <v>26400</v>
      </c>
      <c r="AM7" s="12"/>
    </row>
    <row r="8" spans="1:48" s="13" customFormat="1" ht="30" customHeight="1" x14ac:dyDescent="0.3">
      <c r="A8" s="31" t="s">
        <v>26</v>
      </c>
      <c r="B8" s="29" t="s">
        <v>19</v>
      </c>
      <c r="C8" s="14">
        <v>11</v>
      </c>
      <c r="D8" s="7">
        <v>12</v>
      </c>
      <c r="E8" s="7">
        <v>18</v>
      </c>
      <c r="F8" s="7">
        <v>19</v>
      </c>
      <c r="G8" s="7">
        <v>25</v>
      </c>
      <c r="H8" s="7">
        <v>26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7"/>
      <c r="V8" s="7"/>
      <c r="W8" s="7"/>
      <c r="X8" s="7"/>
      <c r="Y8" s="7"/>
      <c r="Z8" s="7"/>
      <c r="AA8" s="9">
        <f t="shared" ref="AA8:AA9" si="4">COUNT(C8:Z8)</f>
        <v>6</v>
      </c>
      <c r="AB8" s="9">
        <v>6</v>
      </c>
      <c r="AC8" s="9">
        <f t="shared" si="2"/>
        <v>36</v>
      </c>
      <c r="AD8" s="9">
        <v>300</v>
      </c>
      <c r="AE8" s="9"/>
      <c r="AF8" s="10">
        <f t="shared" si="0"/>
        <v>10800</v>
      </c>
      <c r="AG8" s="9"/>
      <c r="AH8" s="9">
        <v>300</v>
      </c>
      <c r="AI8" s="9"/>
      <c r="AJ8" s="10">
        <f t="shared" si="1"/>
        <v>1800</v>
      </c>
      <c r="AK8" s="9"/>
      <c r="AL8" s="11">
        <f t="shared" si="3"/>
        <v>12600</v>
      </c>
      <c r="AM8" s="12"/>
      <c r="AN8" s="15"/>
      <c r="AO8" s="15"/>
    </row>
    <row r="9" spans="1:48" s="13" customFormat="1" ht="30" customHeight="1" x14ac:dyDescent="0.3">
      <c r="A9" s="31" t="s">
        <v>27</v>
      </c>
      <c r="B9" s="29" t="s">
        <v>20</v>
      </c>
      <c r="C9" s="14">
        <v>1</v>
      </c>
      <c r="D9" s="7">
        <v>2</v>
      </c>
      <c r="E9" s="7">
        <v>3</v>
      </c>
      <c r="F9" s="7">
        <v>9</v>
      </c>
      <c r="G9" s="7">
        <v>10</v>
      </c>
      <c r="H9" s="7">
        <v>16</v>
      </c>
      <c r="I9" s="7">
        <v>17</v>
      </c>
      <c r="J9" s="7">
        <v>23</v>
      </c>
      <c r="K9" s="7">
        <v>24</v>
      </c>
      <c r="L9" s="7">
        <v>30</v>
      </c>
      <c r="M9" s="7"/>
      <c r="N9" s="7"/>
      <c r="O9" s="7"/>
      <c r="P9" s="7"/>
      <c r="Q9" s="7"/>
      <c r="R9" s="7"/>
      <c r="S9" s="7"/>
      <c r="T9" s="8"/>
      <c r="U9" s="7"/>
      <c r="V9" s="7"/>
      <c r="W9" s="7"/>
      <c r="X9" s="7"/>
      <c r="Y9" s="7"/>
      <c r="Z9" s="7"/>
      <c r="AA9" s="9">
        <f t="shared" si="4"/>
        <v>10</v>
      </c>
      <c r="AB9" s="9">
        <v>6</v>
      </c>
      <c r="AC9" s="9">
        <f t="shared" si="2"/>
        <v>60</v>
      </c>
      <c r="AD9" s="9">
        <v>400</v>
      </c>
      <c r="AE9" s="9"/>
      <c r="AF9" s="10">
        <f t="shared" si="0"/>
        <v>24000</v>
      </c>
      <c r="AG9" s="9"/>
      <c r="AH9" s="9">
        <v>300</v>
      </c>
      <c r="AI9" s="9"/>
      <c r="AJ9" s="10">
        <f t="shared" si="1"/>
        <v>3000</v>
      </c>
      <c r="AK9" s="9"/>
      <c r="AL9" s="11">
        <f t="shared" si="3"/>
        <v>27000</v>
      </c>
      <c r="AM9" s="16"/>
      <c r="AN9" s="15"/>
      <c r="AO9" s="15"/>
      <c r="AP9" s="15"/>
      <c r="AQ9" s="15"/>
      <c r="AR9" s="15"/>
      <c r="AS9" s="15"/>
      <c r="AT9" s="15"/>
      <c r="AU9" s="15"/>
      <c r="AV9" s="15"/>
    </row>
    <row r="10" spans="1:48" ht="30" customHeight="1" x14ac:dyDescent="0.3">
      <c r="A10" s="31" t="s">
        <v>28</v>
      </c>
      <c r="B10" s="29" t="s">
        <v>21</v>
      </c>
      <c r="C10" s="14">
        <v>1</v>
      </c>
      <c r="D10" s="7">
        <v>2</v>
      </c>
      <c r="E10" s="7">
        <v>4</v>
      </c>
      <c r="F10" s="7">
        <v>8</v>
      </c>
      <c r="G10" s="7">
        <v>9</v>
      </c>
      <c r="H10" s="7">
        <v>11</v>
      </c>
      <c r="I10" s="7">
        <v>15</v>
      </c>
      <c r="J10" s="7">
        <v>16</v>
      </c>
      <c r="K10" s="7">
        <v>18</v>
      </c>
      <c r="L10" s="7">
        <v>22</v>
      </c>
      <c r="M10" s="7">
        <v>23</v>
      </c>
      <c r="N10" s="7">
        <v>25</v>
      </c>
      <c r="O10" s="7">
        <v>29</v>
      </c>
      <c r="P10" s="7">
        <v>30</v>
      </c>
      <c r="Q10" s="7"/>
      <c r="R10" s="7"/>
      <c r="S10" s="7"/>
      <c r="T10" s="8"/>
      <c r="U10" s="7"/>
      <c r="V10" s="7"/>
      <c r="W10" s="7"/>
      <c r="X10" s="7"/>
      <c r="Y10" s="7"/>
      <c r="Z10" s="7"/>
      <c r="AA10" s="9">
        <f>COUNT(C10:Z10)</f>
        <v>14</v>
      </c>
      <c r="AB10" s="9">
        <v>6</v>
      </c>
      <c r="AC10" s="9">
        <f t="shared" si="2"/>
        <v>84</v>
      </c>
      <c r="AD10" s="9">
        <v>500</v>
      </c>
      <c r="AE10" s="9">
        <f>COUNT(C10:AD10)</f>
        <v>18</v>
      </c>
      <c r="AF10" s="10">
        <f t="shared" si="0"/>
        <v>42000</v>
      </c>
      <c r="AG10" s="9"/>
      <c r="AH10" s="9">
        <v>300</v>
      </c>
      <c r="AI10" s="9"/>
      <c r="AJ10" s="10">
        <f t="shared" si="1"/>
        <v>4200</v>
      </c>
      <c r="AK10" s="9"/>
      <c r="AL10" s="11">
        <f t="shared" si="3"/>
        <v>46200</v>
      </c>
      <c r="AM10" s="9"/>
      <c r="AN10" s="17"/>
      <c r="AO10" s="18"/>
      <c r="AP10" s="19"/>
      <c r="AQ10" s="20"/>
      <c r="AR10" s="20"/>
      <c r="AS10" s="20"/>
      <c r="AT10" s="20"/>
      <c r="AU10" s="20"/>
      <c r="AV10" s="20"/>
    </row>
    <row r="11" spans="1:48" ht="30" customHeight="1" x14ac:dyDescent="0.3">
      <c r="A11" s="31" t="s">
        <v>29</v>
      </c>
      <c r="B11" s="29" t="s">
        <v>22</v>
      </c>
      <c r="C11" s="14">
        <v>3</v>
      </c>
      <c r="D11" s="7">
        <v>4</v>
      </c>
      <c r="E11" s="7">
        <v>8</v>
      </c>
      <c r="F11" s="7">
        <v>9</v>
      </c>
      <c r="G11" s="7">
        <v>10</v>
      </c>
      <c r="H11" s="7">
        <v>11</v>
      </c>
      <c r="I11" s="7">
        <v>17</v>
      </c>
      <c r="J11" s="7">
        <v>18</v>
      </c>
      <c r="K11" s="7">
        <v>24</v>
      </c>
      <c r="L11" s="7">
        <v>25</v>
      </c>
      <c r="M11" s="7"/>
      <c r="N11" s="7"/>
      <c r="O11" s="7"/>
      <c r="P11" s="7"/>
      <c r="Q11" s="7"/>
      <c r="R11" s="7"/>
      <c r="S11" s="7"/>
      <c r="T11" s="8"/>
      <c r="U11" s="7"/>
      <c r="V11" s="7"/>
      <c r="W11" s="7"/>
      <c r="X11" s="7"/>
      <c r="Y11" s="7"/>
      <c r="Z11" s="7"/>
      <c r="AA11" s="9">
        <f>COUNT(C11:Z11)</f>
        <v>10</v>
      </c>
      <c r="AB11" s="9">
        <v>6</v>
      </c>
      <c r="AC11" s="9">
        <f t="shared" si="2"/>
        <v>60</v>
      </c>
      <c r="AD11" s="9">
        <v>500</v>
      </c>
      <c r="AE11" s="9">
        <f>COUNT(C11:AD11)</f>
        <v>14</v>
      </c>
      <c r="AF11" s="10">
        <f t="shared" si="0"/>
        <v>30000</v>
      </c>
      <c r="AG11" s="9"/>
      <c r="AH11" s="9">
        <v>300</v>
      </c>
      <c r="AI11" s="9"/>
      <c r="AJ11" s="10">
        <f t="shared" si="1"/>
        <v>3000</v>
      </c>
      <c r="AK11" s="9"/>
      <c r="AL11" s="11">
        <f t="shared" si="3"/>
        <v>33000</v>
      </c>
      <c r="AM11" s="9"/>
      <c r="AN11" s="17"/>
      <c r="AO11" s="18"/>
      <c r="AP11" s="19"/>
      <c r="AQ11" s="20"/>
      <c r="AR11" s="20"/>
      <c r="AS11" s="20"/>
      <c r="AT11" s="20"/>
      <c r="AU11" s="20"/>
      <c r="AV11" s="20"/>
    </row>
    <row r="12" spans="1:48" ht="34.5" customHeight="1" x14ac:dyDescent="0.3">
      <c r="B12" s="97" t="s">
        <v>16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98"/>
      <c r="AB12" s="98"/>
      <c r="AC12" s="98"/>
      <c r="AD12" s="99"/>
      <c r="AE12" s="25"/>
      <c r="AF12" s="120">
        <f>SUM(AF6:AF11)</f>
        <v>169800</v>
      </c>
      <c r="AG12" s="121"/>
      <c r="AH12" s="122"/>
      <c r="AI12" s="26"/>
      <c r="AJ12" s="21">
        <f>SUM(AJ6:AJ11)</f>
        <v>18300</v>
      </c>
      <c r="AK12" s="21"/>
      <c r="AL12" s="22">
        <f>SUM(AL6:AL11)</f>
        <v>188100</v>
      </c>
      <c r="AM12" s="12"/>
      <c r="AN12" s="20"/>
      <c r="AO12" s="20"/>
    </row>
    <row r="17" spans="2:39" x14ac:dyDescent="0.3">
      <c r="C17" s="20"/>
    </row>
    <row r="18" spans="2:39" ht="15" customHeight="1" x14ac:dyDescent="0.3">
      <c r="B18"/>
      <c r="C18" s="20"/>
      <c r="AH18" s="100" t="s">
        <v>14</v>
      </c>
      <c r="AI18" s="100"/>
      <c r="AJ18" s="100"/>
      <c r="AK18" s="100"/>
      <c r="AL18" s="100"/>
      <c r="AM18" s="100"/>
    </row>
    <row r="19" spans="2:39" x14ac:dyDescent="0.3">
      <c r="AH19" s="100"/>
      <c r="AI19" s="100"/>
      <c r="AJ19" s="100"/>
      <c r="AK19" s="100"/>
      <c r="AL19" s="100"/>
      <c r="AM19" s="100"/>
    </row>
    <row r="20" spans="2:39" ht="41.25" customHeight="1" x14ac:dyDescent="0.3">
      <c r="AH20" s="100"/>
      <c r="AI20" s="100"/>
      <c r="AJ20" s="100"/>
      <c r="AK20" s="100"/>
      <c r="AL20" s="100"/>
      <c r="AM20" s="100"/>
    </row>
    <row r="21" spans="2:39" hidden="1" x14ac:dyDescent="0.3"/>
    <row r="37" spans="7:7" x14ac:dyDescent="0.3">
      <c r="G37" t="s">
        <v>15</v>
      </c>
    </row>
  </sheetData>
  <mergeCells count="8">
    <mergeCell ref="AH18:AM20"/>
    <mergeCell ref="B1:AL1"/>
    <mergeCell ref="B2:AL2"/>
    <mergeCell ref="B3:AL3"/>
    <mergeCell ref="B4:AM4"/>
    <mergeCell ref="C5:Z5"/>
    <mergeCell ref="B12:AD12"/>
    <mergeCell ref="AF12:AH12"/>
  </mergeCells>
  <printOptions horizontalCentered="1" verticalCentered="1"/>
  <pageMargins left="0.25" right="0.15" top="0.57999999999999996" bottom="0.14000000000000001" header="0.15" footer="0.14000000000000001"/>
  <pageSetup paperSize="9" scale="76" orientation="landscape" r:id="rId1"/>
  <rowBreaks count="1" manualBreakCount="1">
    <brk id="20" max="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June -2026</vt:lpstr>
      <vt:lpstr>May-2026</vt:lpstr>
      <vt:lpstr>April-2026</vt:lpstr>
      <vt:lpstr>March-2026</vt:lpstr>
      <vt:lpstr>Feb-2026</vt:lpstr>
      <vt:lpstr>Jan -2026</vt:lpstr>
      <vt:lpstr>Dec -2025</vt:lpstr>
      <vt:lpstr>Nov -2025 1</vt:lpstr>
      <vt:lpstr>Oct-2025 1</vt:lpstr>
      <vt:lpstr>Nov-2025</vt:lpstr>
      <vt:lpstr>Oct-2025</vt:lpstr>
      <vt:lpstr>April 19</vt:lpstr>
      <vt:lpstr>'April 19'!Print_Area</vt:lpstr>
      <vt:lpstr>'April-2026'!Print_Area</vt:lpstr>
      <vt:lpstr>'Dec -2025'!Print_Area</vt:lpstr>
      <vt:lpstr>'Feb-2026'!Print_Area</vt:lpstr>
      <vt:lpstr>'Jan -2026'!Print_Area</vt:lpstr>
      <vt:lpstr>'June -2026'!Print_Area</vt:lpstr>
      <vt:lpstr>'March-2026'!Print_Area</vt:lpstr>
      <vt:lpstr>'May-2026'!Print_Area</vt:lpstr>
      <vt:lpstr>'Nov -2025 1'!Print_Area</vt:lpstr>
      <vt:lpstr>'Nov-2025'!Print_Area</vt:lpstr>
      <vt:lpstr>'Oct-2025'!Print_Area</vt:lpstr>
      <vt:lpstr>'Oct-2025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Archi_admin1</cp:lastModifiedBy>
  <cp:lastPrinted>2026-07-01T04:42:33Z</cp:lastPrinted>
  <dcterms:created xsi:type="dcterms:W3CDTF">2018-02-03T06:16:03Z</dcterms:created>
  <dcterms:modified xsi:type="dcterms:W3CDTF">2026-07-01T04:42:41Z</dcterms:modified>
</cp:coreProperties>
</file>